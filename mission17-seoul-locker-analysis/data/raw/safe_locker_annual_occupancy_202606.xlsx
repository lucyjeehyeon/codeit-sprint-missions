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7FBB7D6-8FA3-4C89-BD7B-5BFA5F39B071}" xr6:coauthVersionLast="47" xr6:coauthVersionMax="47" xr10:uidLastSave="{00000000-0000-0000-0000-000000000000}"/>
  <bookViews>
    <workbookView xWindow="-120" yWindow="-120" windowWidth="29040" windowHeight="15720" tabRatio="590" xr2:uid="{00000000-000D-0000-FFFF-FFFF00000000}"/>
  </bookViews>
  <sheets>
    <sheet name="구별 연간 점유율" sheetId="1" r:id="rId1"/>
    <sheet name="개소별 이용건수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'개소별 이용건수'!$A$1:$M$277</definedName>
    <definedName name="_xlnm._FilterDatabase" localSheetId="0" hidden="1">'구별 연간 점유율'!$A$1:$M$277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7" i="3" l="1"/>
  <c r="M276" i="3"/>
  <c r="M275" i="3"/>
  <c r="M274" i="3"/>
  <c r="M273" i="3"/>
  <c r="M272" i="3"/>
  <c r="M271" i="3"/>
  <c r="M270" i="3"/>
  <c r="M268" i="3"/>
  <c r="M267" i="3"/>
  <c r="M266" i="3"/>
  <c r="M265" i="3"/>
  <c r="M264" i="3"/>
  <c r="M263" i="3"/>
  <c r="M262" i="3"/>
  <c r="M261" i="3"/>
  <c r="M260" i="3"/>
  <c r="M259" i="3"/>
  <c r="M258" i="3"/>
  <c r="M256" i="3"/>
  <c r="M255" i="3"/>
  <c r="M253" i="3"/>
  <c r="M251" i="3"/>
  <c r="M250" i="3"/>
  <c r="M249" i="3"/>
  <c r="M248" i="3"/>
  <c r="M247" i="3"/>
  <c r="M246" i="3"/>
  <c r="M245" i="3"/>
  <c r="M244" i="3"/>
  <c r="M242" i="3"/>
  <c r="M241" i="3"/>
  <c r="M240" i="3"/>
  <c r="M239" i="3"/>
  <c r="M238" i="3"/>
  <c r="M236" i="3"/>
  <c r="M235" i="3"/>
  <c r="M234" i="3"/>
  <c r="M232" i="3"/>
  <c r="M231" i="3"/>
  <c r="M230" i="3"/>
  <c r="M229" i="3"/>
  <c r="M228" i="3"/>
  <c r="M227" i="3"/>
  <c r="M226" i="3"/>
  <c r="M225" i="3"/>
  <c r="M223" i="3"/>
  <c r="M221" i="3"/>
  <c r="M220" i="3"/>
  <c r="M218" i="3"/>
  <c r="M217" i="3"/>
  <c r="M216" i="3"/>
  <c r="M215" i="3"/>
  <c r="M214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4" i="3"/>
  <c r="M192" i="3"/>
  <c r="M191" i="3"/>
  <c r="M189" i="3"/>
  <c r="M185" i="3"/>
  <c r="M184" i="3"/>
  <c r="M181" i="3"/>
  <c r="M178" i="3"/>
  <c r="M177" i="3"/>
  <c r="M175" i="3"/>
  <c r="M172" i="3"/>
  <c r="M171" i="3"/>
  <c r="M170" i="3"/>
  <c r="M169" i="3"/>
  <c r="M168" i="3"/>
  <c r="M167" i="3"/>
  <c r="M166" i="3"/>
  <c r="M165" i="3"/>
  <c r="M163" i="3"/>
  <c r="M162" i="3"/>
  <c r="M161" i="3"/>
  <c r="M160" i="3"/>
  <c r="M159" i="3"/>
  <c r="M158" i="3"/>
  <c r="M156" i="3"/>
  <c r="M155" i="3"/>
  <c r="M154" i="3"/>
  <c r="M153" i="3"/>
  <c r="M152" i="3"/>
  <c r="M151" i="3"/>
  <c r="M150" i="3"/>
  <c r="M149" i="3"/>
  <c r="M148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7" i="3"/>
  <c r="M126" i="3"/>
  <c r="M125" i="3"/>
  <c r="M124" i="3"/>
  <c r="M123" i="3"/>
  <c r="M122" i="3"/>
  <c r="M121" i="3"/>
  <c r="M120" i="3"/>
  <c r="M119" i="3"/>
  <c r="M116" i="3"/>
  <c r="M115" i="3"/>
  <c r="M111" i="3"/>
  <c r="M110" i="3"/>
  <c r="M109" i="3"/>
  <c r="M108" i="3"/>
  <c r="M107" i="3"/>
  <c r="M104" i="3"/>
  <c r="M103" i="3"/>
  <c r="M102" i="3"/>
  <c r="M101" i="3"/>
  <c r="M100" i="3"/>
  <c r="M99" i="3"/>
  <c r="M98" i="3"/>
  <c r="M97" i="3"/>
  <c r="M96" i="3"/>
  <c r="M92" i="3"/>
  <c r="M91" i="3"/>
  <c r="M89" i="3"/>
  <c r="M88" i="3"/>
  <c r="M86" i="3"/>
  <c r="M84" i="3"/>
  <c r="M83" i="3"/>
  <c r="M82" i="3"/>
  <c r="M80" i="3"/>
  <c r="M78" i="3"/>
  <c r="M77" i="3"/>
  <c r="M76" i="3"/>
  <c r="M74" i="3"/>
  <c r="M73" i="3"/>
  <c r="M72" i="3"/>
  <c r="M71" i="3"/>
  <c r="M68" i="3"/>
  <c r="M67" i="3"/>
  <c r="M66" i="3"/>
  <c r="M65" i="3"/>
  <c r="M64" i="3"/>
  <c r="M63" i="3"/>
  <c r="M61" i="3"/>
  <c r="M60" i="3"/>
  <c r="M59" i="3"/>
  <c r="M58" i="3"/>
  <c r="M57" i="3"/>
  <c r="M55" i="3"/>
  <c r="M54" i="3"/>
  <c r="M51" i="3"/>
  <c r="M50" i="3"/>
  <c r="M49" i="3"/>
  <c r="M47" i="3"/>
  <c r="M46" i="3"/>
  <c r="M45" i="3"/>
  <c r="M44" i="3"/>
  <c r="M43" i="3"/>
  <c r="M42" i="3"/>
  <c r="M41" i="3"/>
  <c r="M40" i="3"/>
  <c r="M38" i="3"/>
  <c r="M37" i="3"/>
  <c r="M36" i="3"/>
  <c r="M35" i="3"/>
  <c r="M34" i="3"/>
  <c r="M33" i="3"/>
  <c r="M32" i="3"/>
  <c r="M31" i="3"/>
  <c r="M30" i="3"/>
  <c r="M29" i="3"/>
  <c r="M26" i="3"/>
  <c r="M25" i="3"/>
  <c r="M24" i="3"/>
  <c r="M23" i="3"/>
  <c r="M21" i="3"/>
  <c r="M20" i="3"/>
  <c r="M19" i="3"/>
  <c r="M18" i="3"/>
  <c r="M17" i="3"/>
  <c r="M16" i="3"/>
  <c r="M9" i="3"/>
  <c r="M8" i="3"/>
  <c r="M6" i="3"/>
  <c r="M5" i="3"/>
  <c r="M4" i="3"/>
  <c r="M3" i="3"/>
  <c r="L277" i="3"/>
  <c r="L276" i="3"/>
  <c r="L275" i="3"/>
  <c r="L274" i="3"/>
  <c r="L273" i="3"/>
  <c r="L272" i="3"/>
  <c r="L271" i="3"/>
  <c r="L268" i="3"/>
  <c r="L267" i="3"/>
  <c r="L266" i="3"/>
  <c r="L265" i="3"/>
  <c r="L264" i="3"/>
  <c r="L263" i="3"/>
  <c r="L262" i="3"/>
  <c r="L261" i="3"/>
  <c r="L260" i="3"/>
  <c r="L259" i="3"/>
  <c r="L258" i="3"/>
  <c r="L256" i="3"/>
  <c r="L255" i="3"/>
  <c r="L253" i="3"/>
  <c r="L251" i="3"/>
  <c r="L250" i="3"/>
  <c r="L249" i="3"/>
  <c r="L248" i="3"/>
  <c r="L247" i="3"/>
  <c r="L246" i="3"/>
  <c r="L245" i="3"/>
  <c r="L244" i="3"/>
  <c r="L242" i="3"/>
  <c r="L241" i="3"/>
  <c r="L240" i="3"/>
  <c r="L239" i="3"/>
  <c r="L238" i="3"/>
  <c r="L236" i="3"/>
  <c r="L235" i="3"/>
  <c r="L234" i="3"/>
  <c r="L232" i="3"/>
  <c r="L231" i="3"/>
  <c r="L230" i="3"/>
  <c r="L229" i="3"/>
  <c r="L228" i="3"/>
  <c r="L227" i="3"/>
  <c r="L226" i="3"/>
  <c r="L225" i="3"/>
  <c r="L223" i="3"/>
  <c r="L221" i="3"/>
  <c r="L220" i="3"/>
  <c r="L219" i="3"/>
  <c r="L218" i="3"/>
  <c r="L217" i="3"/>
  <c r="L216" i="3"/>
  <c r="L215" i="3"/>
  <c r="L214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4" i="3"/>
  <c r="L192" i="3"/>
  <c r="L191" i="3"/>
  <c r="L189" i="3"/>
  <c r="L185" i="3"/>
  <c r="L184" i="3"/>
  <c r="L181" i="3"/>
  <c r="L178" i="3"/>
  <c r="L177" i="3"/>
  <c r="L175" i="3"/>
  <c r="L172" i="3"/>
  <c r="L171" i="3"/>
  <c r="L170" i="3"/>
  <c r="L169" i="3"/>
  <c r="L168" i="3"/>
  <c r="L167" i="3"/>
  <c r="L166" i="3"/>
  <c r="L165" i="3"/>
  <c r="L163" i="3"/>
  <c r="L162" i="3"/>
  <c r="L161" i="3"/>
  <c r="L160" i="3"/>
  <c r="L159" i="3"/>
  <c r="L158" i="3"/>
  <c r="L156" i="3"/>
  <c r="L155" i="3"/>
  <c r="L154" i="3"/>
  <c r="L153" i="3"/>
  <c r="L152" i="3"/>
  <c r="L151" i="3"/>
  <c r="L150" i="3"/>
  <c r="L149" i="3"/>
  <c r="L148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7" i="3"/>
  <c r="L126" i="3"/>
  <c r="L125" i="3"/>
  <c r="L124" i="3"/>
  <c r="L123" i="3"/>
  <c r="L122" i="3"/>
  <c r="L121" i="3"/>
  <c r="L120" i="3"/>
  <c r="L119" i="3"/>
  <c r="L116" i="3"/>
  <c r="L115" i="3"/>
  <c r="L111" i="3"/>
  <c r="L110" i="3"/>
  <c r="L109" i="3"/>
  <c r="L108" i="3"/>
  <c r="L107" i="3"/>
  <c r="L104" i="3"/>
  <c r="L103" i="3"/>
  <c r="L102" i="3"/>
  <c r="L101" i="3"/>
  <c r="L100" i="3"/>
  <c r="L99" i="3"/>
  <c r="L98" i="3"/>
  <c r="L97" i="3"/>
  <c r="L96" i="3"/>
  <c r="L92" i="3"/>
  <c r="L91" i="3"/>
  <c r="L89" i="3"/>
  <c r="L88" i="3"/>
  <c r="L87" i="3"/>
  <c r="L86" i="3"/>
  <c r="L84" i="3"/>
  <c r="L83" i="3"/>
  <c r="L82" i="3"/>
  <c r="L80" i="3"/>
  <c r="L78" i="3"/>
  <c r="L77" i="3"/>
  <c r="L76" i="3"/>
  <c r="L74" i="3"/>
  <c r="L73" i="3"/>
  <c r="L72" i="3"/>
  <c r="L71" i="3"/>
  <c r="L69" i="3"/>
  <c r="L68" i="3"/>
  <c r="L67" i="3"/>
  <c r="L66" i="3"/>
  <c r="L65" i="3"/>
  <c r="L64" i="3"/>
  <c r="L63" i="3"/>
  <c r="L61" i="3"/>
  <c r="L60" i="3"/>
  <c r="L59" i="3"/>
  <c r="L58" i="3"/>
  <c r="L57" i="3"/>
  <c r="L55" i="3"/>
  <c r="L54" i="3"/>
  <c r="L52" i="3"/>
  <c r="L51" i="3"/>
  <c r="L50" i="3"/>
  <c r="L49" i="3"/>
  <c r="L47" i="3"/>
  <c r="L46" i="3"/>
  <c r="L45" i="3"/>
  <c r="L44" i="3"/>
  <c r="L43" i="3"/>
  <c r="L42" i="3"/>
  <c r="L41" i="3"/>
  <c r="L40" i="3"/>
  <c r="L38" i="3"/>
  <c r="L37" i="3"/>
  <c r="L36" i="3"/>
  <c r="L35" i="3"/>
  <c r="L34" i="3"/>
  <c r="L33" i="3"/>
  <c r="L32" i="3"/>
  <c r="L31" i="3"/>
  <c r="L30" i="3"/>
  <c r="L29" i="3"/>
  <c r="L26" i="3"/>
  <c r="L25" i="3"/>
  <c r="L24" i="3"/>
  <c r="L23" i="3"/>
  <c r="L21" i="3"/>
  <c r="L20" i="3"/>
  <c r="L19" i="3"/>
  <c r="L18" i="3"/>
  <c r="L17" i="3"/>
  <c r="L16" i="3"/>
  <c r="L15" i="3"/>
  <c r="L9" i="3"/>
  <c r="L8" i="3"/>
  <c r="L6" i="3"/>
  <c r="L5" i="3"/>
  <c r="L4" i="3"/>
  <c r="L3" i="3"/>
  <c r="L2" i="3"/>
  <c r="K277" i="3"/>
  <c r="K276" i="3"/>
  <c r="K275" i="3"/>
  <c r="K274" i="3"/>
  <c r="K273" i="3"/>
  <c r="K272" i="3"/>
  <c r="K271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3" i="3"/>
  <c r="K251" i="3"/>
  <c r="K250" i="3"/>
  <c r="K249" i="3"/>
  <c r="K248" i="3"/>
  <c r="K247" i="3"/>
  <c r="K246" i="3"/>
  <c r="K245" i="3"/>
  <c r="K242" i="3"/>
  <c r="K241" i="3"/>
  <c r="K240" i="3"/>
  <c r="K239" i="3"/>
  <c r="K238" i="3"/>
  <c r="K236" i="3"/>
  <c r="K235" i="3"/>
  <c r="K234" i="3"/>
  <c r="K232" i="3"/>
  <c r="K231" i="3"/>
  <c r="K230" i="3"/>
  <c r="K229" i="3"/>
  <c r="K228" i="3"/>
  <c r="K227" i="3"/>
  <c r="K226" i="3"/>
  <c r="K225" i="3"/>
  <c r="K223" i="3"/>
  <c r="K221" i="3"/>
  <c r="K220" i="3"/>
  <c r="K219" i="3"/>
  <c r="K218" i="3"/>
  <c r="K217" i="3"/>
  <c r="K216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4" i="3"/>
  <c r="K192" i="3"/>
  <c r="K191" i="3"/>
  <c r="K190" i="3"/>
  <c r="K189" i="3"/>
  <c r="K185" i="3"/>
  <c r="K184" i="3"/>
  <c r="K181" i="3"/>
  <c r="K178" i="3"/>
  <c r="K177" i="3"/>
  <c r="K175" i="3"/>
  <c r="K174" i="3"/>
  <c r="K172" i="3"/>
  <c r="K171" i="3"/>
  <c r="K170" i="3"/>
  <c r="K169" i="3"/>
  <c r="K168" i="3"/>
  <c r="K167" i="3"/>
  <c r="K166" i="3"/>
  <c r="K165" i="3"/>
  <c r="K163" i="3"/>
  <c r="K162" i="3"/>
  <c r="K161" i="3"/>
  <c r="K160" i="3"/>
  <c r="K159" i="3"/>
  <c r="K158" i="3"/>
  <c r="K156" i="3"/>
  <c r="K155" i="3"/>
  <c r="K154" i="3"/>
  <c r="K153" i="3"/>
  <c r="K152" i="3"/>
  <c r="K151" i="3"/>
  <c r="K150" i="3"/>
  <c r="K149" i="3"/>
  <c r="K148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6" i="3"/>
  <c r="K115" i="3"/>
  <c r="K111" i="3"/>
  <c r="K110" i="3"/>
  <c r="K109" i="3"/>
  <c r="K108" i="3"/>
  <c r="K107" i="3"/>
  <c r="K104" i="3"/>
  <c r="K103" i="3"/>
  <c r="K102" i="3"/>
  <c r="K101" i="3"/>
  <c r="K100" i="3"/>
  <c r="K99" i="3"/>
  <c r="K98" i="3"/>
  <c r="K97" i="3"/>
  <c r="K96" i="3"/>
  <c r="K92" i="3"/>
  <c r="K91" i="3"/>
  <c r="K89" i="3"/>
  <c r="K88" i="3"/>
  <c r="K87" i="3"/>
  <c r="K86" i="3"/>
  <c r="K85" i="3"/>
  <c r="K84" i="3"/>
  <c r="K83" i="3"/>
  <c r="K82" i="3"/>
  <c r="K81" i="3"/>
  <c r="K80" i="3"/>
  <c r="K78" i="3"/>
  <c r="K77" i="3"/>
  <c r="K76" i="3"/>
  <c r="K74" i="3"/>
  <c r="K73" i="3"/>
  <c r="K72" i="3"/>
  <c r="K71" i="3"/>
  <c r="K69" i="3"/>
  <c r="K68" i="3"/>
  <c r="K67" i="3"/>
  <c r="K66" i="3"/>
  <c r="K65" i="3"/>
  <c r="K64" i="3"/>
  <c r="K63" i="3"/>
  <c r="K61" i="3"/>
  <c r="K60" i="3"/>
  <c r="K59" i="3"/>
  <c r="K58" i="3"/>
  <c r="K57" i="3"/>
  <c r="K55" i="3"/>
  <c r="K54" i="3"/>
  <c r="K52" i="3"/>
  <c r="K51" i="3"/>
  <c r="K50" i="3"/>
  <c r="K49" i="3"/>
  <c r="K47" i="3"/>
  <c r="K46" i="3"/>
  <c r="K45" i="3"/>
  <c r="K44" i="3"/>
  <c r="K43" i="3"/>
  <c r="K42" i="3"/>
  <c r="K41" i="3"/>
  <c r="K40" i="3"/>
  <c r="K38" i="3"/>
  <c r="K37" i="3"/>
  <c r="K36" i="3"/>
  <c r="K35" i="3"/>
  <c r="K34" i="3"/>
  <c r="K33" i="3"/>
  <c r="K32" i="3"/>
  <c r="K31" i="3"/>
  <c r="K30" i="3"/>
  <c r="K29" i="3"/>
  <c r="K26" i="3"/>
  <c r="K25" i="3"/>
  <c r="K24" i="3"/>
  <c r="K23" i="3"/>
  <c r="K21" i="3"/>
  <c r="K20" i="3"/>
  <c r="K19" i="3"/>
  <c r="K18" i="3"/>
  <c r="K17" i="3"/>
  <c r="K16" i="3"/>
  <c r="K15" i="3"/>
  <c r="K10" i="3"/>
  <c r="K9" i="3"/>
  <c r="K8" i="3"/>
  <c r="K7" i="3"/>
  <c r="K6" i="3"/>
  <c r="K5" i="3"/>
  <c r="K4" i="3"/>
  <c r="K3" i="3"/>
  <c r="J277" i="3"/>
  <c r="J276" i="3"/>
  <c r="J275" i="3"/>
  <c r="J274" i="3"/>
  <c r="J273" i="3"/>
  <c r="J272" i="3"/>
  <c r="J271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3" i="3"/>
  <c r="J251" i="3"/>
  <c r="J250" i="3"/>
  <c r="J249" i="3"/>
  <c r="J248" i="3"/>
  <c r="J247" i="3"/>
  <c r="J246" i="3"/>
  <c r="J245" i="3"/>
  <c r="J242" i="3"/>
  <c r="J241" i="3"/>
  <c r="J240" i="3"/>
  <c r="J239" i="3"/>
  <c r="J238" i="3"/>
  <c r="J237" i="3"/>
  <c r="J236" i="3"/>
  <c r="J234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2" i="3"/>
  <c r="J191" i="3"/>
  <c r="J190" i="3"/>
  <c r="J189" i="3"/>
  <c r="J188" i="3"/>
  <c r="J187" i="3"/>
  <c r="J186" i="3"/>
  <c r="J185" i="3"/>
  <c r="J184" i="3"/>
  <c r="J181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3" i="3"/>
  <c r="J162" i="3"/>
  <c r="J161" i="3"/>
  <c r="J160" i="3"/>
  <c r="J159" i="3"/>
  <c r="J158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6" i="3"/>
  <c r="J115" i="3"/>
  <c r="J112" i="3"/>
  <c r="J111" i="3"/>
  <c r="J110" i="3"/>
  <c r="J109" i="3"/>
  <c r="J108" i="3"/>
  <c r="J107" i="3"/>
  <c r="J106" i="3"/>
  <c r="J104" i="3"/>
  <c r="J103" i="3"/>
  <c r="J102" i="3"/>
  <c r="J101" i="3"/>
  <c r="J100" i="3"/>
  <c r="J99" i="3"/>
  <c r="J98" i="3"/>
  <c r="J97" i="3"/>
  <c r="J96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4" i="3"/>
  <c r="J73" i="3"/>
  <c r="J72" i="3"/>
  <c r="J71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5" i="3"/>
  <c r="J54" i="3"/>
  <c r="J53" i="3"/>
  <c r="J52" i="3"/>
  <c r="J51" i="3"/>
  <c r="J50" i="3"/>
  <c r="J49" i="3"/>
  <c r="J47" i="3"/>
  <c r="J46" i="3"/>
  <c r="J45" i="3"/>
  <c r="J44" i="3"/>
  <c r="J43" i="3"/>
  <c r="J42" i="3"/>
  <c r="J41" i="3"/>
  <c r="J40" i="3"/>
  <c r="J38" i="3"/>
  <c r="J37" i="3"/>
  <c r="J36" i="3"/>
  <c r="J35" i="3"/>
  <c r="J34" i="3"/>
  <c r="J33" i="3"/>
  <c r="J32" i="3"/>
  <c r="J30" i="3"/>
  <c r="J29" i="3"/>
  <c r="J28" i="3"/>
  <c r="J27" i="3"/>
  <c r="J26" i="3"/>
  <c r="J25" i="3"/>
  <c r="J24" i="3"/>
  <c r="J23" i="3"/>
  <c r="J21" i="3"/>
  <c r="J20" i="3"/>
  <c r="J19" i="3"/>
  <c r="J18" i="3"/>
  <c r="J17" i="3"/>
  <c r="J16" i="3"/>
  <c r="J15" i="3"/>
  <c r="J13" i="3"/>
  <c r="J12" i="3"/>
  <c r="J11" i="3"/>
  <c r="J10" i="3"/>
  <c r="J9" i="3"/>
  <c r="J8" i="3"/>
  <c r="J7" i="3"/>
  <c r="J6" i="3"/>
  <c r="J5" i="3"/>
  <c r="J4" i="3"/>
  <c r="J3" i="3"/>
  <c r="I276" i="3"/>
  <c r="I275" i="3"/>
  <c r="I274" i="3"/>
  <c r="I273" i="3"/>
  <c r="I272" i="3"/>
  <c r="I271" i="3"/>
  <c r="I269" i="3"/>
  <c r="I268" i="3"/>
  <c r="I265" i="3"/>
  <c r="I264" i="3"/>
  <c r="I263" i="3"/>
  <c r="I262" i="3"/>
  <c r="I261" i="3"/>
  <c r="I260" i="3"/>
  <c r="I259" i="3"/>
  <c r="I258" i="3"/>
  <c r="I257" i="3"/>
  <c r="I256" i="3"/>
  <c r="I255" i="3"/>
  <c r="I253" i="3"/>
  <c r="I252" i="3"/>
  <c r="I251" i="3"/>
  <c r="I250" i="3"/>
  <c r="I249" i="3"/>
  <c r="I248" i="3"/>
  <c r="I247" i="3"/>
  <c r="I246" i="3"/>
  <c r="I245" i="3"/>
  <c r="I243" i="3"/>
  <c r="I242" i="3"/>
  <c r="I241" i="3"/>
  <c r="I240" i="3"/>
  <c r="I239" i="3"/>
  <c r="I238" i="3"/>
  <c r="I237" i="3"/>
  <c r="I236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0" i="3"/>
  <c r="I219" i="3"/>
  <c r="I218" i="3"/>
  <c r="I217" i="3"/>
  <c r="I214" i="3"/>
  <c r="I213" i="3"/>
  <c r="I212" i="3"/>
  <c r="I211" i="3"/>
  <c r="I210" i="3"/>
  <c r="I209" i="3"/>
  <c r="I208" i="3"/>
  <c r="I207" i="3"/>
  <c r="I206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1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6" i="3"/>
  <c r="I115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69" i="3"/>
  <c r="I68" i="3"/>
  <c r="I67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3" i="3"/>
  <c r="I12" i="3"/>
  <c r="I11" i="3"/>
  <c r="I10" i="3"/>
  <c r="I9" i="3"/>
  <c r="I8" i="3"/>
  <c r="I7" i="3"/>
  <c r="I6" i="3"/>
  <c r="I5" i="3"/>
  <c r="I4" i="3"/>
  <c r="I3" i="3"/>
  <c r="M2" i="3"/>
  <c r="K2" i="3"/>
  <c r="J2" i="3"/>
  <c r="I2" i="3"/>
  <c r="H157" i="3" l="1"/>
  <c r="H155" i="3"/>
  <c r="H150" i="3"/>
  <c r="H256" i="3"/>
  <c r="H26" i="3"/>
  <c r="H136" i="3"/>
  <c r="H135" i="3"/>
  <c r="H219" i="3"/>
  <c r="H207" i="3"/>
  <c r="H186" i="3"/>
  <c r="H176" i="3"/>
  <c r="H159" i="3"/>
  <c r="H172" i="3"/>
  <c r="H78" i="3"/>
  <c r="H276" i="3"/>
  <c r="H268" i="3"/>
  <c r="H271" i="3"/>
  <c r="H67" i="3"/>
  <c r="H250" i="3"/>
  <c r="H251" i="3"/>
  <c r="H252" i="3"/>
  <c r="H246" i="3"/>
  <c r="H247" i="3"/>
  <c r="H248" i="3"/>
  <c r="H253" i="3"/>
  <c r="H275" i="3"/>
  <c r="H269" i="3"/>
  <c r="H272" i="3"/>
  <c r="H273" i="3"/>
  <c r="H274" i="3"/>
  <c r="H86" i="3"/>
  <c r="H79" i="3"/>
  <c r="H80" i="3"/>
  <c r="H81" i="3"/>
  <c r="H82" i="3"/>
  <c r="H83" i="3"/>
  <c r="H84" i="3"/>
  <c r="H85" i="3"/>
  <c r="H161" i="3"/>
  <c r="H162" i="3"/>
  <c r="H163" i="3"/>
  <c r="H165" i="3"/>
  <c r="H166" i="3"/>
  <c r="H167" i="3"/>
  <c r="H168" i="3"/>
  <c r="H169" i="3"/>
  <c r="H170" i="3"/>
  <c r="H171" i="3"/>
  <c r="H160" i="3"/>
  <c r="H225" i="3"/>
  <c r="H226" i="3"/>
  <c r="H227" i="3"/>
  <c r="H228" i="3"/>
  <c r="H229" i="3"/>
  <c r="H230" i="3"/>
  <c r="H231" i="3"/>
  <c r="H232" i="3"/>
  <c r="H234" i="3"/>
  <c r="H236" i="3"/>
  <c r="H233" i="3"/>
  <c r="H237" i="3"/>
  <c r="H223" i="3"/>
  <c r="H224" i="3"/>
  <c r="H38" i="3"/>
  <c r="H46" i="3"/>
  <c r="H47" i="3"/>
  <c r="H49" i="3"/>
  <c r="H35" i="3"/>
  <c r="H39" i="3"/>
  <c r="H40" i="3"/>
  <c r="H41" i="3"/>
  <c r="H42" i="3"/>
  <c r="H43" i="3"/>
  <c r="H44" i="3"/>
  <c r="H45" i="3"/>
  <c r="H48" i="3"/>
  <c r="H181" i="3"/>
  <c r="H184" i="3"/>
  <c r="H173" i="3"/>
  <c r="H174" i="3"/>
  <c r="H179" i="3"/>
  <c r="H180" i="3"/>
  <c r="H178" i="3"/>
  <c r="H183" i="3"/>
  <c r="H182" i="3"/>
  <c r="H193" i="3"/>
  <c r="H189" i="3"/>
  <c r="H190" i="3"/>
  <c r="H191" i="3"/>
  <c r="H192" i="3"/>
  <c r="H194" i="3"/>
  <c r="H185" i="3"/>
  <c r="H100" i="3"/>
  <c r="H105" i="3"/>
  <c r="H101" i="3"/>
  <c r="H102" i="3"/>
  <c r="H103" i="3"/>
  <c r="H104" i="3"/>
  <c r="H106" i="3"/>
  <c r="H98" i="3"/>
  <c r="H99" i="3"/>
  <c r="H93" i="3"/>
  <c r="H94" i="3"/>
  <c r="H88" i="3"/>
  <c r="H89" i="3"/>
  <c r="H87" i="3"/>
  <c r="H95" i="3"/>
  <c r="H90" i="3"/>
  <c r="H91" i="3"/>
  <c r="H92" i="3"/>
  <c r="H96" i="3"/>
  <c r="H97" i="3"/>
  <c r="H53" i="3"/>
  <c r="H54" i="3"/>
  <c r="H55" i="3"/>
  <c r="H56" i="3"/>
  <c r="H57" i="3"/>
  <c r="H58" i="3"/>
  <c r="H59" i="3"/>
  <c r="H60" i="3"/>
  <c r="H50" i="3"/>
  <c r="H52" i="3"/>
  <c r="H210" i="3"/>
  <c r="H211" i="3"/>
  <c r="H212" i="3"/>
  <c r="H213" i="3"/>
  <c r="H214" i="3"/>
  <c r="H217" i="3"/>
  <c r="H218" i="3"/>
  <c r="H220" i="3"/>
  <c r="H209" i="3"/>
  <c r="H140" i="3"/>
  <c r="H141" i="3"/>
  <c r="H142" i="3"/>
  <c r="H143" i="3"/>
  <c r="H144" i="3"/>
  <c r="H134" i="3"/>
  <c r="H145" i="3"/>
  <c r="H146" i="3"/>
  <c r="H132" i="3"/>
  <c r="H133" i="3"/>
  <c r="H138" i="3"/>
  <c r="H139" i="3"/>
  <c r="H120" i="3"/>
  <c r="H123" i="3"/>
  <c r="H124" i="3"/>
  <c r="H125" i="3"/>
  <c r="H126" i="3"/>
  <c r="H128" i="3"/>
  <c r="H129" i="3"/>
  <c r="H130" i="3"/>
  <c r="H131" i="3"/>
  <c r="H119" i="3"/>
  <c r="H122" i="3"/>
  <c r="H239" i="3"/>
  <c r="H238" i="3"/>
  <c r="H240" i="3"/>
  <c r="H241" i="3"/>
  <c r="H242" i="3"/>
  <c r="H245" i="3"/>
  <c r="H243" i="3"/>
  <c r="H30" i="3"/>
  <c r="H32" i="3"/>
  <c r="H34" i="3"/>
  <c r="H25" i="3"/>
  <c r="H29" i="3"/>
  <c r="H28" i="3"/>
  <c r="H73" i="3"/>
  <c r="H74" i="3"/>
  <c r="H72" i="3"/>
  <c r="H76" i="3"/>
  <c r="H77" i="3"/>
  <c r="H75" i="3"/>
  <c r="H68" i="3"/>
  <c r="H71" i="3"/>
  <c r="H257" i="3"/>
  <c r="H258" i="3"/>
  <c r="H259" i="3"/>
  <c r="H260" i="3"/>
  <c r="H261" i="3"/>
  <c r="H262" i="3"/>
  <c r="H263" i="3"/>
  <c r="H264" i="3"/>
  <c r="H255" i="3"/>
  <c r="H265" i="3"/>
  <c r="H148" i="3"/>
  <c r="H149" i="3"/>
  <c r="H151" i="3"/>
  <c r="H152" i="3"/>
  <c r="H153" i="3"/>
  <c r="H154" i="3"/>
  <c r="H156" i="3"/>
  <c r="H158" i="3"/>
  <c r="H147" i="3"/>
  <c r="H198" i="3"/>
  <c r="H199" i="3"/>
  <c r="H200" i="3"/>
  <c r="H201" i="3"/>
  <c r="H202" i="3"/>
  <c r="H203" i="3"/>
  <c r="H204" i="3"/>
  <c r="H196" i="3"/>
  <c r="H206" i="3"/>
  <c r="H195" i="3"/>
  <c r="H197" i="3"/>
  <c r="H17" i="3"/>
  <c r="H18" i="3"/>
  <c r="H19" i="3"/>
  <c r="H20" i="3"/>
  <c r="H21" i="3"/>
  <c r="H23" i="3"/>
  <c r="H24" i="3"/>
  <c r="H16" i="3"/>
  <c r="H22" i="3"/>
  <c r="H109" i="3"/>
  <c r="H113" i="3"/>
  <c r="H110" i="3"/>
  <c r="H112" i="3"/>
  <c r="H111" i="3"/>
  <c r="H115" i="3"/>
  <c r="H116" i="3"/>
  <c r="H118" i="3"/>
  <c r="H108" i="3"/>
  <c r="H107" i="3"/>
  <c r="H114" i="3"/>
  <c r="H2" i="3"/>
  <c r="H3" i="3"/>
  <c r="H4" i="3"/>
  <c r="H6" i="3"/>
  <c r="H5" i="3"/>
  <c r="H12" i="3"/>
  <c r="H7" i="3"/>
  <c r="H8" i="3"/>
  <c r="H13" i="3"/>
  <c r="H9" i="3"/>
  <c r="H10" i="3"/>
  <c r="H11" i="3"/>
  <c r="H14" i="3"/>
  <c r="H63" i="3"/>
  <c r="H64" i="3"/>
  <c r="H65" i="3"/>
  <c r="H249" i="3"/>
</calcChain>
</file>

<file path=xl/sharedStrings.xml><?xml version="1.0" encoding="utf-8"?>
<sst xmlns="http://schemas.openxmlformats.org/spreadsheetml/2006/main" count="2006" uniqueCount="605">
  <si>
    <t>자치구</t>
  </si>
  <si>
    <t>주소</t>
  </si>
  <si>
    <t>종로구</t>
  </si>
  <si>
    <t>청운효자동 자치회관</t>
  </si>
  <si>
    <t>자하문로19길 36</t>
  </si>
  <si>
    <t>종로육아종합지원센터</t>
  </si>
  <si>
    <t>성균관로1길 6-3</t>
  </si>
  <si>
    <t>숭인1동 주민센터</t>
  </si>
  <si>
    <t>지봉로 86</t>
  </si>
  <si>
    <t>숭인제2동주민센터</t>
  </si>
  <si>
    <t>종로65길 10</t>
  </si>
  <si>
    <t>종로구민회관</t>
  </si>
  <si>
    <t>지봉로5길 7-5</t>
  </si>
  <si>
    <t>중구</t>
  </si>
  <si>
    <t>약수동공영주차장</t>
  </si>
  <si>
    <t>동호로8다길 22</t>
  </si>
  <si>
    <t>버티 공영주차장</t>
  </si>
  <si>
    <t>동호로17길 270</t>
  </si>
  <si>
    <t>장충체육관 후문</t>
  </si>
  <si>
    <t>동호로 241</t>
  </si>
  <si>
    <t>약수교회 식당입구</t>
  </si>
  <si>
    <t>다산로8길 32</t>
  </si>
  <si>
    <t>장충동2가 192-129</t>
  </si>
  <si>
    <t>동호로 11나길 47</t>
  </si>
  <si>
    <t>충무창업큐브</t>
  </si>
  <si>
    <t>광희동 퇴계로 265</t>
  </si>
  <si>
    <t>용산구</t>
  </si>
  <si>
    <t>보광동주민센터</t>
  </si>
  <si>
    <t>장문로 95</t>
  </si>
  <si>
    <t>숙대 명재관 인근</t>
  </si>
  <si>
    <t>효창원로86길 33</t>
  </si>
  <si>
    <t>용산치안센터(2가동주민센터)</t>
  </si>
  <si>
    <t>신흥로 90</t>
  </si>
  <si>
    <t>효창동주민센터</t>
  </si>
  <si>
    <t>효창원로 161</t>
  </si>
  <si>
    <t>한남동공영주차장</t>
  </si>
  <si>
    <t>이태원로 224-19</t>
  </si>
  <si>
    <t>용산구청후문</t>
  </si>
  <si>
    <t>녹사평대로 150</t>
  </si>
  <si>
    <t>갈월종합사회복지관</t>
  </si>
  <si>
    <t>두텁바위로 25</t>
  </si>
  <si>
    <t>용산꿈나무종합타운</t>
  </si>
  <si>
    <t>백범로 329</t>
  </si>
  <si>
    <t>성동구</t>
  </si>
  <si>
    <t>무수막길 69</t>
  </si>
  <si>
    <t>광나루로 4가길 23</t>
  </si>
  <si>
    <t>용답 29길 22</t>
  </si>
  <si>
    <t>둘레길 47-5</t>
  </si>
  <si>
    <t>무학봉길 48</t>
  </si>
  <si>
    <t>성동구민종합체육센터</t>
  </si>
  <si>
    <t>왕십리로 89</t>
  </si>
  <si>
    <t>성동구립도서관</t>
  </si>
  <si>
    <t>고산자로10길 9</t>
  </si>
  <si>
    <t>무학봉15길 6</t>
  </si>
  <si>
    <t>사근동주민센터</t>
  </si>
  <si>
    <t>사근동길 37</t>
  </si>
  <si>
    <t>광진구</t>
  </si>
  <si>
    <t>자양2동주민센터</t>
  </si>
  <si>
    <t>자양로3가길 26</t>
  </si>
  <si>
    <t>자양문화체육센터</t>
  </si>
  <si>
    <t>뚝섬로52길 66</t>
  </si>
  <si>
    <t>면목로 13</t>
  </si>
  <si>
    <t>자양로18길 78</t>
  </si>
  <si>
    <t>중곡감리교회</t>
  </si>
  <si>
    <t>긴고랑로36길 56</t>
  </si>
  <si>
    <t>구의2동주택가 공동주차장</t>
  </si>
  <si>
    <t>자양로 309</t>
  </si>
  <si>
    <t>자양종합사회복지관</t>
  </si>
  <si>
    <t>자양번영로 35</t>
  </si>
  <si>
    <t>중곡문화체육센터</t>
  </si>
  <si>
    <t>능동로 433</t>
  </si>
  <si>
    <t>중곡종합건강센터</t>
  </si>
  <si>
    <t>긴고랑로 110</t>
  </si>
  <si>
    <t>화양동주민센터</t>
  </si>
  <si>
    <t>능동로17길 39</t>
  </si>
  <si>
    <t>자양4동 주민센터</t>
  </si>
  <si>
    <t>뚝섬로26길 58</t>
  </si>
  <si>
    <t>동부여성발전센터</t>
  </si>
  <si>
    <t>아차산로30길 36</t>
  </si>
  <si>
    <t>중곡1동주민센터</t>
  </si>
  <si>
    <t>긴고랑로12길 49</t>
  </si>
  <si>
    <t>광진경찰서</t>
  </si>
  <si>
    <t>자양로 167</t>
  </si>
  <si>
    <t>동대문구</t>
  </si>
  <si>
    <t>휘경동공영주차장</t>
  </si>
  <si>
    <t>망우로12길 33</t>
  </si>
  <si>
    <t>이문체육문화센터</t>
  </si>
  <si>
    <t>한천로58길 81-49</t>
  </si>
  <si>
    <t>신한은행 외대역 지점</t>
  </si>
  <si>
    <t>휘경로 23(이문동)</t>
  </si>
  <si>
    <t>전농로27길 42</t>
  </si>
  <si>
    <t>장안2동 공영주차장</t>
  </si>
  <si>
    <t>답십리로65길 124-5</t>
  </si>
  <si>
    <t>동대문구청 종합민원실</t>
  </si>
  <si>
    <t>천호대로 145</t>
  </si>
  <si>
    <t>회기동공영주차장</t>
  </si>
  <si>
    <t>회기로25길 31</t>
  </si>
  <si>
    <t>답십리도서관</t>
  </si>
  <si>
    <t>서울시립대로4길 75</t>
  </si>
  <si>
    <t>정보화도서관</t>
  </si>
  <si>
    <t>회기로10길 60</t>
  </si>
  <si>
    <t>장안종합사회복지관</t>
  </si>
  <si>
    <t>한천로18길 48</t>
  </si>
  <si>
    <t>답십리2청소년독서실</t>
  </si>
  <si>
    <t>답십리로56길 15</t>
  </si>
  <si>
    <t>중랑구</t>
  </si>
  <si>
    <t>동일로 792</t>
  </si>
  <si>
    <t>면목4동주민센터</t>
  </si>
  <si>
    <t>면목로 246</t>
  </si>
  <si>
    <t>면목5동 주민센터</t>
  </si>
  <si>
    <t>동일로 619</t>
  </si>
  <si>
    <t>면목본동 주민센터</t>
  </si>
  <si>
    <t>면목로 397</t>
  </si>
  <si>
    <t>상봉1동주민센터</t>
  </si>
  <si>
    <t>상봉중앙로1길 6</t>
  </si>
  <si>
    <t>동일로 114길 10</t>
  </si>
  <si>
    <t>성북구</t>
  </si>
  <si>
    <t>석관동주민센터</t>
  </si>
  <si>
    <t xml:space="preserve"> 화랑로 296</t>
  </si>
  <si>
    <t>보국문로8길 23</t>
  </si>
  <si>
    <t>보문부모아이지원센터</t>
  </si>
  <si>
    <t>지봉로24길 26</t>
  </si>
  <si>
    <t>제일빌딩</t>
  </si>
  <si>
    <t>북악산로31길 8</t>
  </si>
  <si>
    <t>성북희망나눔봉사센터</t>
  </si>
  <si>
    <t>삼양로 20</t>
  </si>
  <si>
    <t>안암교회</t>
  </si>
  <si>
    <t>보문로30가길 41-6</t>
  </si>
  <si>
    <t>아리랑 시네미디어센터</t>
  </si>
  <si>
    <t>아리랑로 82</t>
  </si>
  <si>
    <t>장위1동 주민센터</t>
  </si>
  <si>
    <t>장위로 61</t>
  </si>
  <si>
    <t>강북구</t>
  </si>
  <si>
    <t>도봉로 50</t>
  </si>
  <si>
    <t>삼양로92길 40</t>
  </si>
  <si>
    <t>솔밭근린공원 개방화장실</t>
  </si>
  <si>
    <t>삼양로 561</t>
  </si>
  <si>
    <t>강북문화예술회관</t>
  </si>
  <si>
    <t>삼각산로 85</t>
  </si>
  <si>
    <t>번동북부시장 북부마트</t>
  </si>
  <si>
    <t>한천로123길 26</t>
  </si>
  <si>
    <t>수유역1번출구</t>
  </si>
  <si>
    <t>도봉로 338</t>
  </si>
  <si>
    <t>미아동 복합청사</t>
  </si>
  <si>
    <t>솔매로49길 14</t>
  </si>
  <si>
    <t>강북구청 본관 입구</t>
  </si>
  <si>
    <t>도봉로89길 13</t>
  </si>
  <si>
    <t>수유1동 주민센터</t>
  </si>
  <si>
    <t>삼양로 299</t>
  </si>
  <si>
    <t>도봉구</t>
  </si>
  <si>
    <t>염광교회</t>
  </si>
  <si>
    <t>도봉로120길 16</t>
  </si>
  <si>
    <t>창3동 주민센터</t>
  </si>
  <si>
    <t>덕릉로62길 89</t>
  </si>
  <si>
    <t>도봉구민회관</t>
  </si>
  <si>
    <t>도봉로 552</t>
  </si>
  <si>
    <t>우이천로4길 24-5</t>
  </si>
  <si>
    <t>도봉서원종합사회복지관</t>
  </si>
  <si>
    <t>마들로 668</t>
  </si>
  <si>
    <t>방아골종합사회복지관</t>
  </si>
  <si>
    <t>시루봉로17길 42</t>
  </si>
  <si>
    <t>창동역1번출구</t>
  </si>
  <si>
    <t>마들로11길 77</t>
  </si>
  <si>
    <t>도봉1동주민센터</t>
  </si>
  <si>
    <t>도봉로169나길 22</t>
  </si>
  <si>
    <t>창2동 신창교회</t>
  </si>
  <si>
    <t>덕릉로 247</t>
  </si>
  <si>
    <t>노원구</t>
  </si>
  <si>
    <t>공릉종합사회복지관</t>
  </si>
  <si>
    <t>동일로 1127 공릉아파트</t>
  </si>
  <si>
    <t>상계문화정보도서관</t>
  </si>
  <si>
    <t>동일로 243길 57</t>
  </si>
  <si>
    <t>상계2동주민센터</t>
  </si>
  <si>
    <t>상계로 118</t>
  </si>
  <si>
    <t>상계3,4동 주민센터</t>
  </si>
  <si>
    <t>덕릉로 859</t>
  </si>
  <si>
    <t>상계역 자전거대여소</t>
  </si>
  <si>
    <t>상계로 190</t>
  </si>
  <si>
    <t>공릉 청소년문화정보센터</t>
  </si>
  <si>
    <t>노원로1나길 10</t>
  </si>
  <si>
    <t>공릉1동 주민센터(노원)</t>
  </si>
  <si>
    <t>동일로186길 3-24</t>
  </si>
  <si>
    <t>석계로 93</t>
  </si>
  <si>
    <t>은평구</t>
  </si>
  <si>
    <t>역촌동 주민센터</t>
  </si>
  <si>
    <t>연서로 59</t>
  </si>
  <si>
    <t>갈현1동 주민센터</t>
  </si>
  <si>
    <t>갈현로 301</t>
  </si>
  <si>
    <t>갈현청소년센터쉼쉼</t>
  </si>
  <si>
    <t>통일로89길 6-20</t>
  </si>
  <si>
    <t>연신내 지구대</t>
  </si>
  <si>
    <t>갈현로 195</t>
  </si>
  <si>
    <t>구산동주민센터</t>
  </si>
  <si>
    <t>갈현로17길 10</t>
  </si>
  <si>
    <t>신사종합사회복지관</t>
  </si>
  <si>
    <t>은평로 38</t>
  </si>
  <si>
    <t>불광1동 치안센터</t>
  </si>
  <si>
    <t>불광로 129</t>
  </si>
  <si>
    <t>은평로 245</t>
  </si>
  <si>
    <t>증산 정보도서관</t>
  </si>
  <si>
    <t>증산로5길 6</t>
  </si>
  <si>
    <t>서대문구</t>
  </si>
  <si>
    <t>청년누리</t>
  </si>
  <si>
    <t xml:space="preserve"> 증가로4길 8-45</t>
  </si>
  <si>
    <t>명지대5길 10-8</t>
  </si>
  <si>
    <t>서대문구 수색로2길 36(남가좌동)</t>
  </si>
  <si>
    <t>신한은행 명지대 지점</t>
  </si>
  <si>
    <t>거북골로 45(남가좌동)</t>
  </si>
  <si>
    <t>홍제3동 주민센터</t>
  </si>
  <si>
    <t>세검정로4길 32</t>
  </si>
  <si>
    <t>홍은2동 주민센터</t>
  </si>
  <si>
    <t>모래내로 334</t>
  </si>
  <si>
    <t>연희동주민센터</t>
  </si>
  <si>
    <t>연희로 189</t>
  </si>
  <si>
    <t>홍은1동주민센터</t>
  </si>
  <si>
    <t>홍은중앙로 85</t>
  </si>
  <si>
    <t>서대문구 연희맛로 28</t>
  </si>
  <si>
    <t>서부제일교회 어린이도서관</t>
  </si>
  <si>
    <t>가좌로 154</t>
  </si>
  <si>
    <t>봉원교회 북카페 옆</t>
  </si>
  <si>
    <t>봉원사2길 13</t>
  </si>
  <si>
    <t>북아현동 주민센터</t>
  </si>
  <si>
    <t>북아현로 24</t>
  </si>
  <si>
    <t>충현동주민센터</t>
  </si>
  <si>
    <t>북아현로22길 38</t>
  </si>
  <si>
    <t>마포구</t>
  </si>
  <si>
    <t>서교동교회</t>
  </si>
  <si>
    <t>잔다리로6길 11</t>
  </si>
  <si>
    <t>성산1동주민센터</t>
  </si>
  <si>
    <t>성산로 4길 15</t>
  </si>
  <si>
    <t>대흥동주민센터</t>
  </si>
  <si>
    <t>신촌로26길 10</t>
  </si>
  <si>
    <t>월드컵로31길 18</t>
  </si>
  <si>
    <t>서현교회</t>
  </si>
  <si>
    <t>잔다리로7길 31</t>
  </si>
  <si>
    <t>동교치안센터</t>
  </si>
  <si>
    <t>신촌로2안길 27</t>
  </si>
  <si>
    <t>서강동주민센터</t>
  </si>
  <si>
    <t>독막로 165</t>
  </si>
  <si>
    <t>매봉산로2길 16</t>
  </si>
  <si>
    <t>신수동주민센터</t>
  </si>
  <si>
    <t>독막로 192</t>
  </si>
  <si>
    <t>성산2동주민센터</t>
  </si>
  <si>
    <t>월드컵북로30길 22</t>
  </si>
  <si>
    <t>연남동희망원룸주택</t>
  </si>
  <si>
    <t>성미산로17길 79</t>
  </si>
  <si>
    <t>상암동 제1공영주차장</t>
  </si>
  <si>
    <t>성암로 197</t>
  </si>
  <si>
    <t>마포아트센터</t>
  </si>
  <si>
    <t>대흥로20길 28</t>
  </si>
  <si>
    <t>연남동 주민커뮤니티센터</t>
  </si>
  <si>
    <t>동교로41길 36</t>
  </si>
  <si>
    <t>도화동 주민센터</t>
  </si>
  <si>
    <t>도화길 37</t>
  </si>
  <si>
    <t>양천구</t>
  </si>
  <si>
    <t>남부순환로59길 8</t>
  </si>
  <si>
    <t>양천나눔누리센터</t>
  </si>
  <si>
    <t>중앙로 250</t>
  </si>
  <si>
    <t>목동실버복지문화센터</t>
  </si>
  <si>
    <t>목동중앙로3길 21</t>
  </si>
  <si>
    <t>신월3동주민센터</t>
  </si>
  <si>
    <t>남부순환로54길 5</t>
  </si>
  <si>
    <t>신정4동주민센터</t>
  </si>
  <si>
    <t>오목로34길 5</t>
  </si>
  <si>
    <t>목동문화체육센터</t>
  </si>
  <si>
    <t>목동중앙본로 73</t>
  </si>
  <si>
    <t>신월문화체육센터</t>
  </si>
  <si>
    <t>지양로 47</t>
  </si>
  <si>
    <t>신월5동주민센터</t>
  </si>
  <si>
    <t>화곡로4길 10</t>
  </si>
  <si>
    <t>신월4동주민센터</t>
  </si>
  <si>
    <t>오목로5길 34</t>
  </si>
  <si>
    <t>목동중앙남로16나길 55</t>
  </si>
  <si>
    <t>목동보건지소</t>
  </si>
  <si>
    <t>목동중앙본로7가길 11</t>
  </si>
  <si>
    <t>강서구</t>
  </si>
  <si>
    <t>화곡2동주민센터</t>
  </si>
  <si>
    <t>길꽃어린이도서관</t>
  </si>
  <si>
    <t>금낭화로24길 5</t>
  </si>
  <si>
    <t>화곡8동 주민센터</t>
  </si>
  <si>
    <t>곰달래로25길 45</t>
  </si>
  <si>
    <t>가로공원공영주차장1번출구</t>
  </si>
  <si>
    <t>가로공원로 189</t>
  </si>
  <si>
    <t>화곡 6-1 공영주차장</t>
  </si>
  <si>
    <t>우장산로 114</t>
  </si>
  <si>
    <t>화곡 3-1 공영주차장</t>
  </si>
  <si>
    <t>화곡로15길 40</t>
  </si>
  <si>
    <t>화곡 1-1 공영주차장</t>
  </si>
  <si>
    <t>곰달래로15길 28</t>
  </si>
  <si>
    <t>내발산동 문화센터</t>
  </si>
  <si>
    <t>강서로52길 89</t>
  </si>
  <si>
    <t>곰달래복지문화센터</t>
  </si>
  <si>
    <t>강서로5길 50</t>
  </si>
  <si>
    <t>곰달래로57가길 26</t>
  </si>
  <si>
    <t>까치산로4길 22</t>
  </si>
  <si>
    <t>공항동 주민센터</t>
  </si>
  <si>
    <t>송정로 45</t>
  </si>
  <si>
    <t>발산1동주민센터</t>
  </si>
  <si>
    <t>강서로47길 54</t>
  </si>
  <si>
    <t>신방화역환승주차장</t>
  </si>
  <si>
    <t>마곡서1로 111-12</t>
  </si>
  <si>
    <t>구로구</t>
  </si>
  <si>
    <t>우마2길 35</t>
  </si>
  <si>
    <t>구로구 시설관리공단</t>
  </si>
  <si>
    <t>구로동로26길 54</t>
  </si>
  <si>
    <t>도림천로 352</t>
  </si>
  <si>
    <t>부일로1길 62</t>
  </si>
  <si>
    <t>구로역1번출구 NC백화점</t>
  </si>
  <si>
    <t>구로중앙로 174</t>
  </si>
  <si>
    <t>구로구민회관</t>
  </si>
  <si>
    <t>가마산로25길 21</t>
  </si>
  <si>
    <t>구로2동주민센터앞</t>
  </si>
  <si>
    <t>구로동로 141</t>
  </si>
  <si>
    <t>오류1동텃골공영주차장</t>
  </si>
  <si>
    <t>경인로15길 22</t>
  </si>
  <si>
    <t>금천구</t>
  </si>
  <si>
    <t>독산2동주민센터</t>
  </si>
  <si>
    <t>독산로 179</t>
  </si>
  <si>
    <t>시흥대로138길 10-11</t>
  </si>
  <si>
    <t>금천구 시흥대로 97(시흥동)</t>
  </si>
  <si>
    <t>금천구 금하로 747-1(시흥동)</t>
  </si>
  <si>
    <t>시흥4동 주민센터</t>
  </si>
  <si>
    <t>독산로36길 14</t>
  </si>
  <si>
    <t>금천호암노인복지관</t>
  </si>
  <si>
    <t>독산로72길 86-5</t>
  </si>
  <si>
    <t>시흥3동 주민센터</t>
  </si>
  <si>
    <t>시흥대로18길 40</t>
  </si>
  <si>
    <t>독산1동주민센터</t>
  </si>
  <si>
    <t>시흥대로123길 11</t>
  </si>
  <si>
    <t>금천구청</t>
  </si>
  <si>
    <t>시흥대로73길 70</t>
  </si>
  <si>
    <t>영등포구</t>
  </si>
  <si>
    <t>도영로22길 36</t>
  </si>
  <si>
    <t>영등포 제1스포츠센터</t>
  </si>
  <si>
    <t>신풍로 1</t>
  </si>
  <si>
    <t>대방천로 193</t>
  </si>
  <si>
    <t>영등포 평생학습관</t>
  </si>
  <si>
    <t>버드나루로15길 10</t>
  </si>
  <si>
    <t>영등포본동주민센터</t>
  </si>
  <si>
    <t>신길로61길 17</t>
  </si>
  <si>
    <t>신길4동1동1마을공영주차장</t>
  </si>
  <si>
    <t>신길로40길 5</t>
  </si>
  <si>
    <t>신길7동 주민센터</t>
  </si>
  <si>
    <t>여의대방로43길 10</t>
  </si>
  <si>
    <t>도림동 주민센터</t>
  </si>
  <si>
    <t>도영로7길 10</t>
  </si>
  <si>
    <t>다사랑어린이공원(경로당)</t>
  </si>
  <si>
    <t>대림로23가길 5</t>
  </si>
  <si>
    <t>신길1동 주민센터</t>
  </si>
  <si>
    <t>영등포로84길 24-5</t>
  </si>
  <si>
    <t>도신로 27</t>
  </si>
  <si>
    <t>그린케어센터</t>
  </si>
  <si>
    <t>당산로29길 9</t>
  </si>
  <si>
    <t>동작구</t>
  </si>
  <si>
    <t>스페이스살림</t>
  </si>
  <si>
    <t>노량진로 10</t>
  </si>
  <si>
    <t>사당종합체육관</t>
  </si>
  <si>
    <t>사당로27길 232</t>
  </si>
  <si>
    <t>신한은행 숭실대역 지점</t>
  </si>
  <si>
    <t>상도로37길 76 (상도동)</t>
  </si>
  <si>
    <t>순만빌딩</t>
  </si>
  <si>
    <t>노량진로 169</t>
  </si>
  <si>
    <t>사당문화회관</t>
  </si>
  <si>
    <t>사당로8길 9</t>
  </si>
  <si>
    <t>상도1동주민센터</t>
  </si>
  <si>
    <t>상도로53길 9</t>
  </si>
  <si>
    <t>예그리나주택</t>
  </si>
  <si>
    <t>국사봉8길 47</t>
  </si>
  <si>
    <t>강남교회 교육관</t>
  </si>
  <si>
    <t>만양로 76</t>
  </si>
  <si>
    <t>상도로15바길 5</t>
  </si>
  <si>
    <t>장승배기로 161</t>
  </si>
  <si>
    <t>사당노인종합복지관</t>
  </si>
  <si>
    <t>남부순환로 2081</t>
  </si>
  <si>
    <t>상도3동 주민센터</t>
  </si>
  <si>
    <t>성대로2길 11</t>
  </si>
  <si>
    <t>신대방해피점</t>
  </si>
  <si>
    <t>신대방1나길 26</t>
  </si>
  <si>
    <t>동작대로 73</t>
  </si>
  <si>
    <t>관악구</t>
  </si>
  <si>
    <t>미성체육관</t>
  </si>
  <si>
    <t>난우16길 37</t>
  </si>
  <si>
    <t>신한은행 (구)봉천서 지점</t>
  </si>
  <si>
    <t>은천로 110 (봉천동)</t>
  </si>
  <si>
    <t>호암로26길 58 대학동 (신림동)</t>
  </si>
  <si>
    <t>서원동주민센터</t>
  </si>
  <si>
    <t>신림로 282</t>
  </si>
  <si>
    <t>관악청소년회관</t>
  </si>
  <si>
    <t>신림로23길 17</t>
  </si>
  <si>
    <t>인헌동주민센터</t>
  </si>
  <si>
    <t>남부순환로246가길 20</t>
  </si>
  <si>
    <t>남현동 주민센터</t>
  </si>
  <si>
    <t>남현1가길 29</t>
  </si>
  <si>
    <t>청룡동 주민센터</t>
  </si>
  <si>
    <t>쑥고개로 44</t>
  </si>
  <si>
    <t>조원동주민센터</t>
  </si>
  <si>
    <t>조원로12길 25</t>
  </si>
  <si>
    <t>신사동자치회관</t>
  </si>
  <si>
    <t>조원로 151-1</t>
  </si>
  <si>
    <t>행운동주민센터</t>
  </si>
  <si>
    <t>행운1길 43</t>
  </si>
  <si>
    <t>관악구청</t>
  </si>
  <si>
    <t>관악로 145</t>
  </si>
  <si>
    <t>대학길 64</t>
  </si>
  <si>
    <t>남부순환로 1520</t>
  </si>
  <si>
    <t>서초구</t>
  </si>
  <si>
    <t>양재1동민원분소</t>
  </si>
  <si>
    <t>남부순환로 2610</t>
  </si>
  <si>
    <t>양재2동주민센터</t>
  </si>
  <si>
    <t>강남대로12길 44</t>
  </si>
  <si>
    <t>언구비 공영주차장</t>
  </si>
  <si>
    <t>강남대로83길 55</t>
  </si>
  <si>
    <t>방배열린문화센터</t>
  </si>
  <si>
    <t>방배로 173</t>
  </si>
  <si>
    <t>방배2동 주민센터</t>
  </si>
  <si>
    <t>청두곶길 36</t>
  </si>
  <si>
    <t>서초꿈나무라이온스 보금자리</t>
  </si>
  <si>
    <t>언남10길 48</t>
  </si>
  <si>
    <t>강남구</t>
  </si>
  <si>
    <t>역삼청소년수련관</t>
  </si>
  <si>
    <t>논현로64길 7</t>
  </si>
  <si>
    <t>대치2동 주민센터</t>
  </si>
  <si>
    <t>영동대로65길 24</t>
  </si>
  <si>
    <t>도곡1동 주민센터</t>
  </si>
  <si>
    <t>도곡로18길 57</t>
  </si>
  <si>
    <t>논현1동주민센터</t>
  </si>
  <si>
    <t>학동로20길 25</t>
  </si>
  <si>
    <t>대치4동 주민센터</t>
  </si>
  <si>
    <t>도곡로77길 23</t>
  </si>
  <si>
    <t>도곡2동주민센터</t>
  </si>
  <si>
    <t>남부순환로378길 34-9</t>
  </si>
  <si>
    <t>일원1동주민센터</t>
  </si>
  <si>
    <t>양재대로55길 14</t>
  </si>
  <si>
    <t>역삼1동 주민센터</t>
  </si>
  <si>
    <t>역삼로7길 16</t>
  </si>
  <si>
    <t>송파구</t>
  </si>
  <si>
    <t>오금로46길 55</t>
  </si>
  <si>
    <t>삼전지구대</t>
  </si>
  <si>
    <t>백제고분로 238</t>
  </si>
  <si>
    <t>장지동 주민센터</t>
  </si>
  <si>
    <t>새말로19길 6</t>
  </si>
  <si>
    <t>거여2동주민센터</t>
  </si>
  <si>
    <t>거마로2길 19</t>
  </si>
  <si>
    <t>마천2동주민센터</t>
  </si>
  <si>
    <t>마천로 287</t>
  </si>
  <si>
    <t>석촌동주민센터</t>
  </si>
  <si>
    <t>백제고분로37길 16</t>
  </si>
  <si>
    <t>송파노인종합복지관</t>
  </si>
  <si>
    <t>백제고분로32길 41</t>
  </si>
  <si>
    <t>여의도 순복음송파교회</t>
  </si>
  <si>
    <t>마천로 17</t>
  </si>
  <si>
    <t>송파여성 문화회관</t>
  </si>
  <si>
    <t>백제고분로42길 5</t>
  </si>
  <si>
    <t>거여1동주민센터</t>
  </si>
  <si>
    <t>오금로53길 32</t>
  </si>
  <si>
    <t>문정1동 주민센터</t>
  </si>
  <si>
    <t>동남로 116</t>
  </si>
  <si>
    <t>강동구</t>
  </si>
  <si>
    <t>구천면로 395</t>
  </si>
  <si>
    <t>천중로 61</t>
  </si>
  <si>
    <t>둔촌역전통시장공영주차장</t>
  </si>
  <si>
    <t>성내동 417-34</t>
  </si>
  <si>
    <t>구천면로 189</t>
  </si>
  <si>
    <t>길동주민센터</t>
  </si>
  <si>
    <t>길동 228-10</t>
  </si>
  <si>
    <t>성내1동 주민센터</t>
  </si>
  <si>
    <t>성내로 13</t>
  </si>
  <si>
    <t>암사2동 주민센터</t>
  </si>
  <si>
    <t>상암로3길 28</t>
  </si>
  <si>
    <t>강동구민회관</t>
  </si>
  <si>
    <t>상암로 168</t>
  </si>
  <si>
    <t>강동구립암사도서관</t>
  </si>
  <si>
    <t>고덕로20길 42</t>
  </si>
  <si>
    <t>강동구립해공도서관</t>
  </si>
  <si>
    <t>올림픽로 702</t>
  </si>
  <si>
    <t>구립안말경로당</t>
  </si>
  <si>
    <t>풍성로45길 11</t>
  </si>
  <si>
    <t>월계문화정보도서관</t>
    <phoneticPr fontId="1" type="noConversion"/>
  </si>
  <si>
    <t>고척로45길 36</t>
    <phoneticPr fontId="1" type="noConversion"/>
  </si>
  <si>
    <t>금빛휘트니스센터</t>
    <phoneticPr fontId="1" type="noConversion"/>
  </si>
  <si>
    <t>금하로668 금빛공원</t>
    <phoneticPr fontId="1" type="noConversion"/>
  </si>
  <si>
    <t>칸수</t>
    <phoneticPr fontId="1" type="noConversion"/>
  </si>
  <si>
    <t>대림도서관</t>
    <phoneticPr fontId="1" type="noConversion"/>
  </si>
  <si>
    <t>설치연도</t>
    <phoneticPr fontId="1" type="noConversion"/>
  </si>
  <si>
    <t>철거연도</t>
    <phoneticPr fontId="1" type="noConversion"/>
  </si>
  <si>
    <t>운영여부</t>
    <phoneticPr fontId="1" type="noConversion"/>
  </si>
  <si>
    <t>철거</t>
  </si>
  <si>
    <t>철거</t>
    <phoneticPr fontId="1" type="noConversion"/>
  </si>
  <si>
    <t>2001아울렛천호점</t>
    <phoneticPr fontId="1" type="noConversion"/>
  </si>
  <si>
    <t>장충공영주차장</t>
    <phoneticPr fontId="1" type="noConversion"/>
  </si>
  <si>
    <t>용답공영주차장</t>
    <phoneticPr fontId="1" type="noConversion"/>
  </si>
  <si>
    <t>강변공영주차장</t>
    <phoneticPr fontId="1" type="noConversion"/>
  </si>
  <si>
    <t>나사렛교회</t>
    <phoneticPr fontId="1" type="noConversion"/>
  </si>
  <si>
    <t>중화1치안센터</t>
    <phoneticPr fontId="1" type="noConversion"/>
  </si>
  <si>
    <t>강북노인종합복지회관</t>
    <phoneticPr fontId="1" type="noConversion"/>
  </si>
  <si>
    <t>월계치안센터</t>
    <phoneticPr fontId="1" type="noConversion"/>
  </si>
  <si>
    <t>신월1동 청소년독서실</t>
    <phoneticPr fontId="1" type="noConversion"/>
  </si>
  <si>
    <t>가리봉동주민센터</t>
    <phoneticPr fontId="1" type="noConversion"/>
  </si>
  <si>
    <t>서울교통공사대림별관</t>
    <phoneticPr fontId="1" type="noConversion"/>
  </si>
  <si>
    <t>청춘삘딩</t>
    <phoneticPr fontId="1" type="noConversion"/>
  </si>
  <si>
    <t>신한은행 신림대학동 지점</t>
    <phoneticPr fontId="1" type="noConversion"/>
  </si>
  <si>
    <t>운영</t>
  </si>
  <si>
    <t>하왕십리공영주차장</t>
    <phoneticPr fontId="1" type="noConversion"/>
  </si>
  <si>
    <t>왕십리2동주민센터</t>
    <phoneticPr fontId="1" type="noConversion"/>
  </si>
  <si>
    <t>응봉동 공영주차장</t>
    <phoneticPr fontId="1" type="noConversion"/>
  </si>
  <si>
    <t>독서당로63길 40</t>
    <phoneticPr fontId="1" type="noConversion"/>
  </si>
  <si>
    <t>군자동주민센터</t>
    <phoneticPr fontId="1" type="noConversion"/>
  </si>
  <si>
    <t>구의1동공영주차장</t>
    <phoneticPr fontId="1" type="noConversion"/>
  </si>
  <si>
    <t>운영</t>
    <phoneticPr fontId="1" type="noConversion"/>
  </si>
  <si>
    <t>상봉2동주민센터</t>
    <phoneticPr fontId="1" type="noConversion"/>
  </si>
  <si>
    <t>성북정릉감리교회</t>
    <phoneticPr fontId="1" type="noConversion"/>
  </si>
  <si>
    <t>미아사거리역 1번출구</t>
    <phoneticPr fontId="1" type="noConversion"/>
  </si>
  <si>
    <t>남가좌2동 제2공영주차장</t>
    <phoneticPr fontId="1" type="noConversion"/>
  </si>
  <si>
    <t>신한은행_남가좌동점</t>
    <phoneticPr fontId="1" type="noConversion"/>
  </si>
  <si>
    <t>신한은행_연희동점</t>
    <phoneticPr fontId="1" type="noConversion"/>
  </si>
  <si>
    <t>망원2동 치안센터</t>
    <phoneticPr fontId="1" type="noConversion"/>
  </si>
  <si>
    <t>상암동주민센터후문</t>
    <phoneticPr fontId="1" type="noConversion"/>
  </si>
  <si>
    <t>목3동 주민센터</t>
    <phoneticPr fontId="1" type="noConversion"/>
  </si>
  <si>
    <t>화곡4동 주민센터</t>
    <phoneticPr fontId="1" type="noConversion"/>
  </si>
  <si>
    <t>볏골공원공영주차장</t>
    <phoneticPr fontId="1" type="noConversion"/>
  </si>
  <si>
    <t>신길6동복지관</t>
    <phoneticPr fontId="1" type="noConversion"/>
  </si>
  <si>
    <t>신림여성회관</t>
    <phoneticPr fontId="1" type="noConversion"/>
  </si>
  <si>
    <t>국사봉 체육관</t>
    <phoneticPr fontId="1" type="noConversion"/>
  </si>
  <si>
    <t>국회단지길 144 51</t>
    <phoneticPr fontId="1" type="noConversion"/>
  </si>
  <si>
    <t>가락2동치안센터</t>
    <phoneticPr fontId="1" type="noConversion"/>
  </si>
  <si>
    <t>강일동주민센터</t>
    <phoneticPr fontId="1" type="noConversion"/>
  </si>
  <si>
    <t>명동주민센터</t>
    <phoneticPr fontId="1" type="noConversion"/>
  </si>
  <si>
    <t>다산동공영주차장</t>
    <phoneticPr fontId="1" type="noConversion"/>
  </si>
  <si>
    <t>효창종합사회복지관</t>
    <phoneticPr fontId="1" type="noConversion"/>
  </si>
  <si>
    <t>현대오일뱅크_중원주유소</t>
    <phoneticPr fontId="1" type="noConversion"/>
  </si>
  <si>
    <t>동대문종합사회복지관</t>
    <phoneticPr fontId="1" type="noConversion"/>
  </si>
  <si>
    <t>성북청소년수련관</t>
    <phoneticPr fontId="1" type="noConversion"/>
  </si>
  <si>
    <t>도봉구민청</t>
    <phoneticPr fontId="1" type="noConversion"/>
  </si>
  <si>
    <t>창1동제1공영주차장</t>
    <phoneticPr fontId="1" type="noConversion"/>
  </si>
  <si>
    <t>시립은평청소년센터</t>
    <phoneticPr fontId="1" type="noConversion"/>
  </si>
  <si>
    <t>아인스하임</t>
    <phoneticPr fontId="1" type="noConversion"/>
  </si>
  <si>
    <t>경창시장고객주차장</t>
    <phoneticPr fontId="1" type="noConversion"/>
  </si>
  <si>
    <t>궁동종합사회복지관</t>
    <phoneticPr fontId="1" type="noConversion"/>
  </si>
  <si>
    <t>동양미래대학교 기숙사</t>
    <phoneticPr fontId="1" type="noConversion"/>
  </si>
  <si>
    <t>현대오일뱅크_구로셀프주유소</t>
    <phoneticPr fontId="1" type="noConversion"/>
  </si>
  <si>
    <t>영등포청소년상담복지센터</t>
    <phoneticPr fontId="1" type="noConversion"/>
  </si>
  <si>
    <t>미성동자치회관</t>
    <phoneticPr fontId="1" type="noConversion"/>
  </si>
  <si>
    <t>방음언덕형 공영주차장</t>
    <phoneticPr fontId="1" type="noConversion"/>
  </si>
  <si>
    <t>성북구립휘트니스센터</t>
    <phoneticPr fontId="1" type="noConversion"/>
  </si>
  <si>
    <t>퇴계로20나길 16</t>
    <phoneticPr fontId="1" type="noConversion"/>
  </si>
  <si>
    <t>동호로15길60</t>
    <phoneticPr fontId="1" type="noConversion"/>
  </si>
  <si>
    <t>효창원로146-12</t>
    <phoneticPr fontId="1" type="noConversion"/>
  </si>
  <si>
    <t>동일로 398</t>
    <phoneticPr fontId="1" type="noConversion"/>
  </si>
  <si>
    <t>약령시로5길 22</t>
    <phoneticPr fontId="1" type="noConversion"/>
  </si>
  <si>
    <t>보문로29길 49</t>
    <phoneticPr fontId="1" type="noConversion"/>
  </si>
  <si>
    <t>한천로 660-9</t>
    <phoneticPr fontId="1" type="noConversion"/>
  </si>
  <si>
    <t>마들로 656</t>
    <phoneticPr fontId="1" type="noConversion"/>
  </si>
  <si>
    <t>도봉로112길 43</t>
    <phoneticPr fontId="1" type="noConversion"/>
  </si>
  <si>
    <t>연서로 34길 11</t>
    <phoneticPr fontId="1" type="noConversion"/>
  </si>
  <si>
    <t>백련산로4길 16</t>
    <phoneticPr fontId="1" type="noConversion"/>
  </si>
  <si>
    <t>은평터널로7가길 8</t>
    <phoneticPr fontId="1" type="noConversion"/>
  </si>
  <si>
    <t>신월동 446-3</t>
    <phoneticPr fontId="1" type="noConversion"/>
  </si>
  <si>
    <t>오리로22길 5</t>
    <phoneticPr fontId="1" type="noConversion"/>
  </si>
  <si>
    <t>중앙로 10-5</t>
    <phoneticPr fontId="1" type="noConversion"/>
  </si>
  <si>
    <t>조원로12길 25</t>
    <phoneticPr fontId="1" type="noConversion"/>
  </si>
  <si>
    <t>아리수로93길 9-14</t>
    <phoneticPr fontId="1" type="noConversion"/>
  </si>
  <si>
    <t>창동 도봉육아종합지원센터</t>
    <phoneticPr fontId="1" type="noConversion"/>
  </si>
  <si>
    <t>곰달래로37길 13</t>
    <phoneticPr fontId="1" type="noConversion"/>
  </si>
  <si>
    <t>관악구 신림동 남부순환로 1590</t>
    <phoneticPr fontId="1" type="noConversion"/>
  </si>
  <si>
    <t>도산대로 163</t>
    <phoneticPr fontId="1" type="noConversion"/>
  </si>
  <si>
    <t>2016~2017 사이</t>
  </si>
  <si>
    <t>-</t>
    <phoneticPr fontId="1" type="noConversion"/>
  </si>
  <si>
    <t>주흥3길 34</t>
    <phoneticPr fontId="1" type="noConversion"/>
  </si>
  <si>
    <t>난곡로 52길 16</t>
    <phoneticPr fontId="1" type="noConversion"/>
  </si>
  <si>
    <t>양재천로 125-10</t>
    <phoneticPr fontId="1" type="noConversion"/>
  </si>
  <si>
    <t>강동구 평생학습관(명일동 공영주차장)</t>
    <phoneticPr fontId="6" type="noConversion"/>
  </si>
  <si>
    <t>천호 청소년 문화의집</t>
  </si>
  <si>
    <t>불광보건소</t>
    <phoneticPr fontId="1" type="noConversion"/>
  </si>
  <si>
    <t>온수동_공용이용시설</t>
    <phoneticPr fontId="6" type="noConversion"/>
  </si>
  <si>
    <t>신한은행_디지털라운지</t>
    <phoneticPr fontId="1" type="noConversion"/>
  </si>
  <si>
    <t>kb국민은행 동작구청지점</t>
    <phoneticPr fontId="6" type="noConversion"/>
  </si>
  <si>
    <t>동작청소년센터</t>
    <phoneticPr fontId="6" type="noConversion"/>
  </si>
  <si>
    <t>현대오일뱅크_사당셀프주유소</t>
  </si>
  <si>
    <t>현대오일뱅크_관악셀프주유소</t>
  </si>
  <si>
    <r>
      <t>2022년</t>
    </r>
    <r>
      <rPr>
        <b/>
        <sz val="8"/>
        <color rgb="FFFFFFFF"/>
        <rFont val="Arial Unicode MS"/>
        <family val="2"/>
        <charset val="129"/>
      </rPr>
      <t/>
    </r>
  </si>
  <si>
    <r>
      <t>2023년</t>
    </r>
    <r>
      <rPr>
        <b/>
        <sz val="8"/>
        <color rgb="FFFFFFFF"/>
        <rFont val="Arial Unicode MS"/>
        <family val="2"/>
        <charset val="129"/>
      </rPr>
      <t/>
    </r>
  </si>
  <si>
    <r>
      <t>2024년</t>
    </r>
    <r>
      <rPr>
        <b/>
        <sz val="8"/>
        <color rgb="FFFFFFFF"/>
        <rFont val="Arial Unicode MS"/>
        <family val="2"/>
        <charset val="129"/>
      </rPr>
      <t/>
    </r>
  </si>
  <si>
    <r>
      <t>2025년</t>
    </r>
    <r>
      <rPr>
        <b/>
        <sz val="8"/>
        <color rgb="FFFFFFFF"/>
        <rFont val="Arial Unicode MS"/>
        <family val="2"/>
        <charset val="129"/>
      </rPr>
      <t/>
    </r>
  </si>
  <si>
    <t>미성체육관</t>
    <phoneticPr fontId="1" type="noConversion"/>
  </si>
  <si>
    <t>역촌동 주민센터</t>
    <phoneticPr fontId="1" type="noConversion"/>
  </si>
  <si>
    <t>-</t>
    <phoneticPr fontId="9" type="noConversion"/>
  </si>
  <si>
    <t>충현 공영주차장</t>
    <phoneticPr fontId="1" type="noConversion"/>
  </si>
  <si>
    <t>열린금호교육문화관</t>
    <phoneticPr fontId="9" type="noConversion"/>
  </si>
  <si>
    <t>성수2가3동 공영주차장</t>
    <phoneticPr fontId="9" type="noConversion"/>
  </si>
  <si>
    <t>청년취업사관학교 은평캠퍼스</t>
    <phoneticPr fontId="1" type="noConversion"/>
  </si>
  <si>
    <t>화곡 3-1 공영주차장</t>
    <phoneticPr fontId="9" type="noConversion"/>
  </si>
  <si>
    <t>구로구민 체육센터</t>
    <phoneticPr fontId="1" type="noConversion"/>
  </si>
  <si>
    <t>신한은행_금천점</t>
    <phoneticPr fontId="1" type="noConversion"/>
  </si>
  <si>
    <t>신한은행_신림역</t>
    <phoneticPr fontId="1" type="noConversion"/>
  </si>
  <si>
    <t>양재공영주차장</t>
    <phoneticPr fontId="6" type="noConversion"/>
  </si>
  <si>
    <t>현대오일뱅크_신사현대점</t>
    <phoneticPr fontId="9" type="noConversion"/>
  </si>
  <si>
    <t>월계로 319</t>
    <phoneticPr fontId="1" type="noConversion"/>
  </si>
  <si>
    <t>-</t>
    <phoneticPr fontId="9" type="noConversion"/>
  </si>
  <si>
    <t>운영</t>
    <phoneticPr fontId="9" type="noConversion"/>
  </si>
  <si>
    <t>열린금호교육문화관</t>
    <phoneticPr fontId="1" type="noConversion"/>
  </si>
  <si>
    <t>성수2가3동 공영주차장</t>
    <phoneticPr fontId="1" type="noConversion"/>
  </si>
  <si>
    <t>현대오일뱅크_신사현대점</t>
    <phoneticPr fontId="1" type="noConversion"/>
  </si>
  <si>
    <t>2021년</t>
    <phoneticPr fontId="1" type="noConversion"/>
  </si>
  <si>
    <t>2026년 6월</t>
    <phoneticPr fontId="1" type="noConversion"/>
  </si>
  <si>
    <t>시설물명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</si>
</sst>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rgb="FF000000"/>
      <name val="맑은 고딕"/>
      <scheme val="minor"/>
    </font>
    <font>
      <sz val="8"/>
      <color rgb="FFFFFFFF"/>
      <name val="Arial"/>
      <family val="2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Calibri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8"/>
      <color rgb="FFFFFFFF"/>
      <name val="Arial Unicode MS"/>
      <family val="2"/>
      <charset val="129"/>
    </font>
    <font>
      <sz val="8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Fill="0" applyAlignment="0" applyProtection="0">
      <alignment wrapText="1"/>
    </xf>
    <xf numFmtId="0" fontId="5" fillId="0" borderId="0" applyFill="0" applyAlignment="0" applyProtection="0">
      <alignment wrapText="1"/>
    </xf>
    <xf numFmtId="0" fontId="5" fillId="0" borderId="0" applyFill="0" applyAlignment="0" applyProtection="0">
      <alignment wrapText="1"/>
    </xf>
  </cellStyleXfs>
  <cellXfs count="30"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Fill="1" applyBorder="1" applyAlignment="1">
      <alignment vertical="center"/>
    </xf>
    <xf numFmtId="9" fontId="0" fillId="0" borderId="0" xfId="0" applyNumberFormat="1" applyBorder="1" applyAlignment="1">
      <alignment vertical="center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7" fillId="2" borderId="2" xfId="4" applyFont="1" applyFill="1" applyBorder="1" applyAlignment="1" applyProtection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2" xfId="3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/>
    </xf>
    <xf numFmtId="9" fontId="11" fillId="2" borderId="2" xfId="0" applyNumberFormat="1" applyFont="1" applyFill="1" applyBorder="1" applyAlignment="1">
      <alignment horizontal="center" vertical="center"/>
    </xf>
    <xf numFmtId="9" fontId="11" fillId="2" borderId="2" xfId="0" applyNumberFormat="1" applyFont="1" applyFill="1" applyBorder="1" applyAlignment="1">
      <alignment horizontal="center" vertical="center" wrapText="1"/>
    </xf>
    <xf numFmtId="0" fontId="12" fillId="2" borderId="2" xfId="5" applyFont="1" applyFill="1" applyBorder="1" applyAlignment="1" applyProtection="1">
      <alignment horizontal="center" vertical="center" wrapText="1"/>
    </xf>
    <xf numFmtId="0" fontId="13" fillId="2" borderId="2" xfId="4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3" fillId="2" borderId="2" xfId="3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9" fontId="1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0" fillId="0" borderId="2" xfId="5" applyFont="1" applyFill="1" applyBorder="1" applyAlignment="1" applyProtection="1">
      <alignment horizontal="center" vertical="center" wrapText="1"/>
    </xf>
    <xf numFmtId="3" fontId="10" fillId="0" borderId="2" xfId="5" applyNumberFormat="1" applyFont="1" applyFill="1" applyBorder="1" applyAlignment="1" applyProtection="1">
      <alignment horizontal="center" vertical="center" wrapText="1"/>
    </xf>
  </cellXfs>
  <cellStyles count="6">
    <cellStyle name="열어 본 하이퍼링크" xfId="2" builtinId="9" hidden="1"/>
    <cellStyle name="표준" xfId="0" builtinId="0"/>
    <cellStyle name="표준 10" xfId="4" xr:uid="{2D54DDD3-A019-4F70-BBCF-D1B0EC4A222E}"/>
    <cellStyle name="표준 2" xfId="5" xr:uid="{99D635A2-E0A7-4B5E-BB8D-BC2B462916A0}"/>
    <cellStyle name="표준 77" xfId="3" xr:uid="{32B4D612-331A-4927-AAAF-3BF8AEF2FB8A}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%202.%20&#50504;&#49900;&#53469;&#48176;&#54632;\2026\0.%20&#44592;&#53440;\(26.7&#50900;)&#44277;&#44277;&#45936;&#51060;&#53552;%20&#51228;&#44277;&#49888;&#52397;_&#45436;&#47928;%20&#51089;&#49457;%20&#44288;&#47144;\&#53469;&#48176;&#54632;%20&#51216;&#50976;&#50984;%20&#51088;&#47308;&#46308;\2021&#45380;_&#51648;&#51216;&#48324;%20&#51216;&#50976;&#50984;%20-%20&#48373;&#49324;&#4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%202.%20&#50504;&#49900;&#53469;&#48176;&#54632;\2026\0.%20&#44592;&#53440;\(26.7&#50900;)&#44277;&#44277;&#45936;&#51060;&#53552;%20&#51228;&#44277;&#49888;&#52397;_&#45436;&#47928;%20&#51089;&#49457;%20&#44288;&#47144;\&#53469;&#48176;&#54632;%20&#51216;&#50976;&#50984;%20&#51088;&#47308;&#46308;\2022&#45380;_&#51648;&#51216;&#48324;%20&#51216;&#50976;&#5098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%202.%20&#50504;&#49900;&#53469;&#48176;&#54632;\2026\0.%20&#44592;&#53440;\(26.7&#50900;)&#44277;&#44277;&#45936;&#51060;&#53552;%20&#51228;&#44277;&#49888;&#52397;_&#45436;&#47928;%20&#51089;&#49457;%20&#44288;&#47144;\&#53469;&#48176;&#54632;%20&#51216;&#50976;&#50984;%20&#51088;&#47308;&#46308;\2023&#45380;_&#51648;&#51216;&#48324;&#51216;&#50976;&#5098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%202.%20&#50504;&#49900;&#53469;&#48176;&#54632;\2026\0.%20&#44592;&#53440;\(26.7&#50900;)&#44277;&#44277;&#45936;&#51060;&#53552;%20&#51228;&#44277;&#49888;&#52397;_&#45436;&#47928;%20&#51089;&#49457;%20&#44288;&#47144;\&#53469;&#48176;&#54632;%20&#51216;&#50976;&#50984;%20&#51088;&#47308;&#46308;\2024&#45380;_&#51648;&#51216;&#48324;&#51216;&#50976;&#5098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%202.%20&#50504;&#49900;&#53469;&#48176;&#54632;\2026\0.%20&#44592;&#53440;\(26.7&#50900;)&#44277;&#44277;&#45936;&#51060;&#53552;%20&#51228;&#44277;&#49888;&#52397;_&#45436;&#47928;%20&#51089;&#49457;%20&#44288;&#47144;\&#53469;&#48176;&#54632;%20&#51216;&#50976;&#50984;%20&#51088;&#47308;&#46308;\2025&#45380;_&#51648;&#51216;&#48324;&#51216;&#50976;&#5098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%202.%20&#50504;&#49900;&#53469;&#48176;&#54632;\2026\0.%20&#44592;&#53440;\(26.7&#50900;)&#44277;&#44277;&#45936;&#51060;&#53552;%20&#51228;&#44277;&#49888;&#52397;_&#45436;&#47928;%20&#51089;&#49457;%20&#44288;&#47144;\&#53469;&#48176;&#54632;%20&#51216;&#50976;&#50984;%20&#51088;&#47308;&#46308;\2026&#45380;_&#51648;&#51216;&#48324;&#51216;&#50976;&#509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(21년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D5" t="str">
            <v>논현1동주민센터</v>
          </cell>
          <cell r="E5">
            <v>2773</v>
          </cell>
        </row>
        <row r="6">
          <cell r="D6" t="str">
            <v>대치4동 주민센터</v>
          </cell>
          <cell r="E6">
            <v>11106</v>
          </cell>
        </row>
        <row r="7">
          <cell r="D7" t="str">
            <v>도곡2동주민센터</v>
          </cell>
          <cell r="E7">
            <v>4931</v>
          </cell>
        </row>
        <row r="8">
          <cell r="D8" t="str">
            <v>일원1동주민센터</v>
          </cell>
          <cell r="E8">
            <v>1910</v>
          </cell>
        </row>
        <row r="9">
          <cell r="D9" t="str">
            <v>역삼청소년수련관</v>
          </cell>
          <cell r="E9">
            <v>845</v>
          </cell>
        </row>
        <row r="10">
          <cell r="D10" t="str">
            <v>대치2동 주민센터</v>
          </cell>
          <cell r="E10">
            <v>3268</v>
          </cell>
        </row>
        <row r="11">
          <cell r="D11" t="str">
            <v>도곡1동 주민센터</v>
          </cell>
          <cell r="E11">
            <v>3690</v>
          </cell>
        </row>
        <row r="12">
          <cell r="D12" t="str">
            <v>역삼1동 주민센터</v>
          </cell>
          <cell r="E12">
            <v>598</v>
          </cell>
        </row>
        <row r="13">
          <cell r="D13" t="str">
            <v>현대오일뱅크_현대주유소</v>
          </cell>
          <cell r="E13">
            <v>450</v>
          </cell>
        </row>
        <row r="14">
          <cell r="D14" t="str">
            <v>강동구립해공도서관</v>
          </cell>
          <cell r="E14">
            <v>387</v>
          </cell>
        </row>
        <row r="15">
          <cell r="D15" t="str">
            <v>강동평생학습센터</v>
          </cell>
          <cell r="E15">
            <v>4445</v>
          </cell>
        </row>
        <row r="16">
          <cell r="D16" t="str">
            <v>강동구립암사도서관</v>
          </cell>
          <cell r="E16">
            <v>3563</v>
          </cell>
        </row>
        <row r="17">
          <cell r="D17" t="str">
            <v>길동주민센터</v>
          </cell>
          <cell r="E17">
            <v>895</v>
          </cell>
        </row>
        <row r="18">
          <cell r="D18" t="str">
            <v>둔촌역전통시장공영주차장</v>
          </cell>
          <cell r="E18">
            <v>11</v>
          </cell>
        </row>
        <row r="19">
          <cell r="D19" t="str">
            <v>2001아울렛천호점</v>
          </cell>
          <cell r="E19">
            <v>2372</v>
          </cell>
        </row>
        <row r="20">
          <cell r="D20" t="str">
            <v>성내1동 주민센터</v>
          </cell>
          <cell r="E20">
            <v>3638</v>
          </cell>
        </row>
        <row r="21">
          <cell r="D21" t="str">
            <v>암사2동 주민센터</v>
          </cell>
          <cell r="E21">
            <v>3583</v>
          </cell>
        </row>
        <row r="22">
          <cell r="D22" t="str">
            <v>강동구민회관</v>
          </cell>
          <cell r="E22">
            <v>4293</v>
          </cell>
        </row>
        <row r="23">
          <cell r="D23" t="str">
            <v>강동구청소년회관</v>
          </cell>
          <cell r="E23" t="e">
            <v>#N/A</v>
          </cell>
        </row>
        <row r="24">
          <cell r="D24" t="str">
            <v>수유1동 주민센터</v>
          </cell>
          <cell r="E24">
            <v>4706</v>
          </cell>
        </row>
        <row r="25">
          <cell r="D25" t="str">
            <v>강북노인종합복지회관</v>
          </cell>
          <cell r="E25">
            <v>1643</v>
          </cell>
        </row>
        <row r="26">
          <cell r="D26" t="str">
            <v>솔밭근린공원 개방화장실</v>
          </cell>
          <cell r="E26">
            <v>3020</v>
          </cell>
        </row>
        <row r="27">
          <cell r="D27" t="str">
            <v>강북문화예술회관</v>
          </cell>
          <cell r="E27">
            <v>2059</v>
          </cell>
        </row>
        <row r="28">
          <cell r="D28" t="str">
            <v>번동북부시장 북부마트</v>
          </cell>
          <cell r="E28">
            <v>2333</v>
          </cell>
        </row>
        <row r="29">
          <cell r="D29" t="str">
            <v>수유역1번출구</v>
          </cell>
          <cell r="E29">
            <v>3381</v>
          </cell>
        </row>
        <row r="30">
          <cell r="D30" t="str">
            <v>미아동 복합청사</v>
          </cell>
          <cell r="E30">
            <v>4792</v>
          </cell>
        </row>
        <row r="31">
          <cell r="D31" t="str">
            <v>강북구청 본관 입구</v>
          </cell>
          <cell r="E31">
            <v>3642</v>
          </cell>
        </row>
        <row r="32">
          <cell r="D32" t="str">
            <v>미아사거리역 1번출구</v>
          </cell>
          <cell r="E32">
            <v>202</v>
          </cell>
        </row>
        <row r="33">
          <cell r="D33" t="str">
            <v>신방화역환승주차장</v>
          </cell>
          <cell r="E33">
            <v>227</v>
          </cell>
        </row>
        <row r="34">
          <cell r="D34" t="str">
            <v>화곡8동 주민센터</v>
          </cell>
          <cell r="E34">
            <v>3167</v>
          </cell>
        </row>
        <row r="35">
          <cell r="D35" t="str">
            <v>가로공원공영주차장1번출구</v>
          </cell>
          <cell r="E35">
            <v>2778</v>
          </cell>
        </row>
        <row r="36">
          <cell r="D36" t="str">
            <v>화곡 6-1 공영주차장</v>
          </cell>
          <cell r="E36">
            <v>2761</v>
          </cell>
        </row>
        <row r="37">
          <cell r="D37" t="str">
            <v>화곡3-1공영주차장</v>
          </cell>
          <cell r="E37">
            <v>99</v>
          </cell>
        </row>
        <row r="38">
          <cell r="D38" t="str">
            <v>화곡 1-1 공영주차장</v>
          </cell>
          <cell r="E38">
            <v>2000</v>
          </cell>
        </row>
        <row r="39">
          <cell r="D39" t="str">
            <v>내발산동 문화센터</v>
          </cell>
          <cell r="E39">
            <v>3108</v>
          </cell>
        </row>
        <row r="40">
          <cell r="D40" t="str">
            <v>곰달래복지문화센터</v>
          </cell>
          <cell r="E40">
            <v>3205</v>
          </cell>
        </row>
        <row r="41">
          <cell r="D41" t="str">
            <v>화곡4동 주민센터</v>
          </cell>
          <cell r="E41">
            <v>4122</v>
          </cell>
        </row>
        <row r="42">
          <cell r="D42" t="str">
            <v>볏골공원공영주차장</v>
          </cell>
          <cell r="E42">
            <v>3680</v>
          </cell>
        </row>
        <row r="43">
          <cell r="D43" t="str">
            <v>공항동 주민센터</v>
          </cell>
          <cell r="E43">
            <v>2839</v>
          </cell>
        </row>
        <row r="44">
          <cell r="D44" t="str">
            <v>발산1동주민센터</v>
          </cell>
          <cell r="E44">
            <v>1939</v>
          </cell>
        </row>
        <row r="45">
          <cell r="D45" t="str">
            <v>화곡2동주민센터</v>
          </cell>
          <cell r="E45">
            <v>108</v>
          </cell>
        </row>
        <row r="46">
          <cell r="D46" t="str">
            <v>길꽃어린이도서관</v>
          </cell>
          <cell r="E46">
            <v>869</v>
          </cell>
        </row>
        <row r="47">
          <cell r="D47" t="str">
            <v>서원동주민센터</v>
          </cell>
          <cell r="E47">
            <v>3720</v>
          </cell>
        </row>
        <row r="48">
          <cell r="D48" t="str">
            <v>관악청소년회관</v>
          </cell>
          <cell r="E48">
            <v>4379</v>
          </cell>
        </row>
        <row r="49">
          <cell r="D49" t="str">
            <v>인헌동주민센터</v>
          </cell>
          <cell r="E49">
            <v>2894</v>
          </cell>
        </row>
        <row r="50">
          <cell r="D50" t="str">
            <v>대학동치안센터</v>
          </cell>
          <cell r="E50">
            <v>3994</v>
          </cell>
        </row>
        <row r="51">
          <cell r="D51" t="str">
            <v>남현동 주민센터</v>
          </cell>
          <cell r="E51">
            <v>1749</v>
          </cell>
        </row>
        <row r="52">
          <cell r="D52" t="str">
            <v>청룡동 주민센터</v>
          </cell>
          <cell r="E52">
            <v>1582</v>
          </cell>
        </row>
        <row r="53">
          <cell r="D53" t="str">
            <v>조원동주민센터</v>
          </cell>
          <cell r="E53">
            <v>2559</v>
          </cell>
        </row>
        <row r="54">
          <cell r="D54" t="str">
            <v>신사동자치회관</v>
          </cell>
          <cell r="E54">
            <v>3787</v>
          </cell>
        </row>
        <row r="55">
          <cell r="D55" t="str">
            <v>행운동주민센터</v>
          </cell>
          <cell r="E55">
            <v>5317</v>
          </cell>
        </row>
        <row r="56">
          <cell r="D56" t="str">
            <v>관악구청</v>
          </cell>
          <cell r="E56">
            <v>2805</v>
          </cell>
        </row>
        <row r="57">
          <cell r="D57" t="str">
            <v>신림여성회관</v>
          </cell>
          <cell r="E57">
            <v>1209</v>
          </cell>
        </row>
        <row r="58">
          <cell r="D58" t="str">
            <v>미성동자치회관</v>
          </cell>
          <cell r="E58">
            <v>1770</v>
          </cell>
        </row>
        <row r="59">
          <cell r="D59" t="str">
            <v>신한은행_신림역</v>
          </cell>
          <cell r="E59" t="e">
            <v>#N/A</v>
          </cell>
        </row>
        <row r="60">
          <cell r="D60" t="str">
            <v>현대오일뱅크_관악셀프주유소</v>
          </cell>
          <cell r="E60">
            <v>727</v>
          </cell>
        </row>
        <row r="61">
          <cell r="D61" t="str">
            <v>신한은행 (구)봉천서 지점</v>
          </cell>
          <cell r="E61">
            <v>784</v>
          </cell>
        </row>
        <row r="62">
          <cell r="D62" t="str">
            <v>신한은행 신림대학동 지점</v>
          </cell>
          <cell r="E62">
            <v>298</v>
          </cell>
        </row>
        <row r="63">
          <cell r="D63" t="str">
            <v>구의1동공영주차장</v>
          </cell>
          <cell r="E63">
            <v>697</v>
          </cell>
        </row>
        <row r="64">
          <cell r="D64" t="str">
            <v>동부여성발전센터</v>
          </cell>
          <cell r="E64">
            <v>4185</v>
          </cell>
        </row>
        <row r="65">
          <cell r="D65" t="str">
            <v>중곡1동주민센터</v>
          </cell>
          <cell r="E65">
            <v>1893</v>
          </cell>
        </row>
        <row r="66">
          <cell r="D66" t="str">
            <v>광진경찰서</v>
          </cell>
          <cell r="E66">
            <v>1704</v>
          </cell>
        </row>
        <row r="67">
          <cell r="D67" t="str">
            <v>자양2동주민센터</v>
          </cell>
          <cell r="E67">
            <v>1311</v>
          </cell>
        </row>
        <row r="68">
          <cell r="D68" t="str">
            <v>중곡감리교회</v>
          </cell>
          <cell r="E68">
            <v>1264</v>
          </cell>
        </row>
        <row r="69">
          <cell r="D69" t="str">
            <v>구의2동주택가 공동주차장</v>
          </cell>
          <cell r="E69">
            <v>2285</v>
          </cell>
        </row>
        <row r="70">
          <cell r="D70" t="str">
            <v>자양종합사회복지관</v>
          </cell>
          <cell r="E70">
            <v>3352</v>
          </cell>
        </row>
        <row r="71">
          <cell r="D71" t="str">
            <v>중곡문화체육센터</v>
          </cell>
          <cell r="E71">
            <v>3115</v>
          </cell>
        </row>
        <row r="72">
          <cell r="D72" t="str">
            <v>중곡종합건강센터</v>
          </cell>
          <cell r="E72">
            <v>2213</v>
          </cell>
        </row>
        <row r="73">
          <cell r="D73" t="str">
            <v>화양동주민센터</v>
          </cell>
          <cell r="E73">
            <v>2471</v>
          </cell>
        </row>
        <row r="74">
          <cell r="D74" t="str">
            <v>자양4동 주민센터</v>
          </cell>
          <cell r="E74">
            <v>2192</v>
          </cell>
        </row>
        <row r="75">
          <cell r="D75" t="str">
            <v>자양문화체육센터</v>
          </cell>
          <cell r="E75" t="e">
            <v>#N/A</v>
          </cell>
        </row>
        <row r="76">
          <cell r="D76" t="str">
            <v>현대오일뱅크_중원주유소</v>
          </cell>
          <cell r="E76">
            <v>269</v>
          </cell>
        </row>
        <row r="77">
          <cell r="D77" t="str">
            <v>군자동주민센터</v>
          </cell>
          <cell r="E77" t="e">
            <v>#N/A</v>
          </cell>
        </row>
        <row r="78">
          <cell r="D78" t="str">
            <v>구로2동주민센터앞</v>
          </cell>
          <cell r="E78">
            <v>2342</v>
          </cell>
        </row>
        <row r="79">
          <cell r="D79" t="str">
            <v>오류1동텃골공영주차장</v>
          </cell>
          <cell r="E79">
            <v>2574</v>
          </cell>
        </row>
        <row r="80">
          <cell r="D80" t="str">
            <v>가리봉동주민센터</v>
          </cell>
          <cell r="E80">
            <v>151</v>
          </cell>
        </row>
        <row r="81">
          <cell r="D81" t="str">
            <v>구로구 시설관리공단</v>
          </cell>
          <cell r="E81">
            <v>2059</v>
          </cell>
        </row>
        <row r="82">
          <cell r="D82" t="str">
            <v>서울메트로대림별관</v>
          </cell>
          <cell r="E82">
            <v>1429</v>
          </cell>
        </row>
        <row r="83">
          <cell r="D83" t="str">
            <v>온수동_공용이용시설</v>
          </cell>
          <cell r="E83">
            <v>1519</v>
          </cell>
        </row>
        <row r="84">
          <cell r="D84" t="str">
            <v>궁동종합사회복지관</v>
          </cell>
          <cell r="E84">
            <v>2595</v>
          </cell>
        </row>
        <row r="85">
          <cell r="D85" t="str">
            <v>구로역1번출구 AK플라자입구</v>
          </cell>
          <cell r="E85">
            <v>2894</v>
          </cell>
        </row>
        <row r="86">
          <cell r="D86" t="str">
            <v>동양미래대학교 기숙사</v>
          </cell>
          <cell r="E86">
            <v>1015</v>
          </cell>
        </row>
        <row r="87">
          <cell r="D87" t="str">
            <v>구로구민회관</v>
          </cell>
          <cell r="E87">
            <v>1253</v>
          </cell>
        </row>
        <row r="88">
          <cell r="D88" t="str">
            <v>구로구민 체육센터</v>
          </cell>
          <cell r="E88">
            <v>3027</v>
          </cell>
        </row>
        <row r="89">
          <cell r="D89" t="str">
            <v>현대오일뱅크_구로셀프주유소</v>
          </cell>
          <cell r="E89">
            <v>505</v>
          </cell>
        </row>
        <row r="90">
          <cell r="D90" t="str">
            <v>중앙경로당</v>
          </cell>
          <cell r="E90" t="e">
            <v>#N/A</v>
          </cell>
        </row>
        <row r="91">
          <cell r="D91" t="str">
            <v>금빛휘트니스센터</v>
          </cell>
          <cell r="E91">
            <v>2503</v>
          </cell>
        </row>
        <row r="92">
          <cell r="D92" t="str">
            <v>청춘삘딩</v>
          </cell>
          <cell r="E92">
            <v>52</v>
          </cell>
        </row>
        <row r="93">
          <cell r="D93" t="str">
            <v>신한은행_금천점</v>
          </cell>
          <cell r="E93" t="e">
            <v>#N/A</v>
          </cell>
        </row>
        <row r="94">
          <cell r="D94" t="str">
            <v>시흥4동 주민센터</v>
          </cell>
          <cell r="E94">
            <v>1676</v>
          </cell>
        </row>
        <row r="95">
          <cell r="D95" t="str">
            <v>금천호암노인복지관</v>
          </cell>
          <cell r="E95">
            <v>1163</v>
          </cell>
        </row>
        <row r="96">
          <cell r="D96" t="str">
            <v>신한은행_디지털라운지</v>
          </cell>
          <cell r="E96" t="e">
            <v>#N/A</v>
          </cell>
        </row>
        <row r="97">
          <cell r="D97" t="str">
            <v>시흥3동 주민센터</v>
          </cell>
          <cell r="E97">
            <v>2440</v>
          </cell>
        </row>
        <row r="98">
          <cell r="D98" t="str">
            <v>독산1동주민센터</v>
          </cell>
          <cell r="E98">
            <v>2214</v>
          </cell>
        </row>
        <row r="99">
          <cell r="D99" t="str">
            <v>금천구청</v>
          </cell>
          <cell r="E99">
            <v>2380</v>
          </cell>
        </row>
        <row r="100">
          <cell r="D100" t="str">
            <v>독산2동주민센터</v>
          </cell>
          <cell r="E100">
            <v>1425</v>
          </cell>
        </row>
        <row r="101">
          <cell r="D101" t="str">
            <v>상계2동주민센터</v>
          </cell>
          <cell r="E101">
            <v>3098</v>
          </cell>
        </row>
        <row r="102">
          <cell r="D102" t="str">
            <v>월계문화정보도서관</v>
          </cell>
          <cell r="E102">
            <v>3198</v>
          </cell>
        </row>
        <row r="103">
          <cell r="D103" t="str">
            <v>상계3,4동 주민센터</v>
          </cell>
          <cell r="E103">
            <v>2114</v>
          </cell>
        </row>
        <row r="104">
          <cell r="D104" t="str">
            <v>상계역 자전거대여소</v>
          </cell>
          <cell r="E104">
            <v>7235</v>
          </cell>
        </row>
        <row r="105">
          <cell r="D105" t="str">
            <v>공릉 청소년문화정보센터</v>
          </cell>
          <cell r="E105">
            <v>3114</v>
          </cell>
        </row>
        <row r="106">
          <cell r="D106" t="str">
            <v>공릉1동 주민센터(노원)</v>
          </cell>
          <cell r="E106">
            <v>2984</v>
          </cell>
        </row>
        <row r="107">
          <cell r="D107" t="str">
            <v>월계치안센터</v>
          </cell>
          <cell r="E107">
            <v>1952</v>
          </cell>
        </row>
        <row r="108">
          <cell r="D108" t="str">
            <v>공릉종합사회복지관</v>
          </cell>
          <cell r="E108">
            <v>1030</v>
          </cell>
        </row>
        <row r="109">
          <cell r="D109" t="str">
            <v>상계문화정보도서관</v>
          </cell>
          <cell r="E109">
            <v>702</v>
          </cell>
        </row>
        <row r="110">
          <cell r="D110" t="str">
            <v>창동역1번출구</v>
          </cell>
          <cell r="E110">
            <v>5067</v>
          </cell>
        </row>
        <row r="111">
          <cell r="D111" t="str">
            <v>도봉구민청</v>
          </cell>
          <cell r="E111">
            <v>170</v>
          </cell>
        </row>
        <row r="112">
          <cell r="D112" t="str">
            <v>창3동 주민센터</v>
          </cell>
          <cell r="E112">
            <v>1941</v>
          </cell>
        </row>
        <row r="113">
          <cell r="D113" t="str">
            <v>도봉구민회관</v>
          </cell>
          <cell r="E113">
            <v>4637</v>
          </cell>
        </row>
        <row r="114">
          <cell r="D114" t="str">
            <v>염광교회</v>
          </cell>
          <cell r="E114">
            <v>1730</v>
          </cell>
        </row>
        <row r="115">
          <cell r="D115" t="str">
            <v>창1동제1공영주차장</v>
          </cell>
          <cell r="E115">
            <v>2931</v>
          </cell>
        </row>
        <row r="116">
          <cell r="D116" t="str">
            <v>창동 도봉육아종합지원센터</v>
          </cell>
          <cell r="E116">
            <v>1421</v>
          </cell>
        </row>
        <row r="117">
          <cell r="D117" t="str">
            <v>도봉서원종합사회복지관</v>
          </cell>
          <cell r="E117">
            <v>2194</v>
          </cell>
        </row>
        <row r="118">
          <cell r="D118" t="str">
            <v>방아골종합사회복지관</v>
          </cell>
          <cell r="E118">
            <v>1567</v>
          </cell>
        </row>
        <row r="119">
          <cell r="D119" t="str">
            <v>도봉1동주민센터</v>
          </cell>
          <cell r="E119">
            <v>3011</v>
          </cell>
        </row>
        <row r="120">
          <cell r="D120" t="str">
            <v>창2동 신창교회</v>
          </cell>
          <cell r="E120">
            <v>1903</v>
          </cell>
        </row>
        <row r="121">
          <cell r="D121" t="str">
            <v>나사렛교회</v>
          </cell>
          <cell r="E121">
            <v>2293</v>
          </cell>
        </row>
        <row r="122">
          <cell r="D122" t="str">
            <v>장안2동 공영주차장</v>
          </cell>
          <cell r="E122">
            <v>2658</v>
          </cell>
        </row>
        <row r="123">
          <cell r="D123" t="str">
            <v>동대문구청 종합민원실</v>
          </cell>
          <cell r="E123">
            <v>2363</v>
          </cell>
        </row>
        <row r="124">
          <cell r="D124" t="str">
            <v>동대문종합사회복지관</v>
          </cell>
          <cell r="E124">
            <v>1109</v>
          </cell>
        </row>
        <row r="125">
          <cell r="D125" t="str">
            <v>회기동공영주차장</v>
          </cell>
          <cell r="E125">
            <v>1867</v>
          </cell>
        </row>
        <row r="126">
          <cell r="D126" t="str">
            <v>답십리도서관</v>
          </cell>
          <cell r="E126">
            <v>3268</v>
          </cell>
        </row>
        <row r="127">
          <cell r="D127" t="str">
            <v>정보화도서관</v>
          </cell>
          <cell r="E127">
            <v>2046</v>
          </cell>
        </row>
        <row r="128">
          <cell r="D128" t="str">
            <v>장안종합사회복지관</v>
          </cell>
          <cell r="E128">
            <v>3899</v>
          </cell>
        </row>
        <row r="129">
          <cell r="D129" t="str">
            <v>답십리2청소년독서실</v>
          </cell>
          <cell r="E129" t="e">
            <v>#N/A</v>
          </cell>
        </row>
        <row r="130">
          <cell r="D130" t="str">
            <v>휘경동공영주차장</v>
          </cell>
          <cell r="E130">
            <v>449</v>
          </cell>
        </row>
        <row r="131">
          <cell r="D131" t="str">
            <v>신한은행 외대역 지점</v>
          </cell>
          <cell r="E131">
            <v>2091</v>
          </cell>
        </row>
        <row r="132">
          <cell r="D132" t="str">
            <v>이문체육문화센터</v>
          </cell>
          <cell r="E132" t="e">
            <v>#N/A</v>
          </cell>
        </row>
        <row r="133">
          <cell r="D133" t="str">
            <v>순만빌딩</v>
          </cell>
          <cell r="E133">
            <v>2605</v>
          </cell>
        </row>
        <row r="134">
          <cell r="D134" t="str">
            <v>사당문화회관</v>
          </cell>
          <cell r="E134">
            <v>3185</v>
          </cell>
        </row>
        <row r="135">
          <cell r="D135" t="str">
            <v>상도1동주민센터</v>
          </cell>
          <cell r="E135">
            <v>2479</v>
          </cell>
        </row>
        <row r="136">
          <cell r="D136" t="str">
            <v>예그리나주택</v>
          </cell>
          <cell r="E136">
            <v>1262</v>
          </cell>
        </row>
        <row r="137">
          <cell r="D137" t="str">
            <v>강남교회 교육관</v>
          </cell>
          <cell r="E137">
            <v>2091</v>
          </cell>
        </row>
        <row r="138">
          <cell r="D138" t="str">
            <v xml:space="preserve">동작 청소년문화의 집 </v>
          </cell>
          <cell r="E138">
            <v>1434</v>
          </cell>
        </row>
        <row r="139">
          <cell r="D139" t="str">
            <v>우리은행 동작구청지점</v>
          </cell>
          <cell r="E139">
            <v>9614</v>
          </cell>
        </row>
        <row r="140">
          <cell r="D140" t="str">
            <v>사당노인종합복지관</v>
          </cell>
          <cell r="E140">
            <v>3103</v>
          </cell>
        </row>
        <row r="141">
          <cell r="D141" t="str">
            <v>스페이스살림</v>
          </cell>
          <cell r="E141">
            <v>32</v>
          </cell>
        </row>
        <row r="142">
          <cell r="D142" t="str">
            <v>상도3동 주민센터</v>
          </cell>
          <cell r="E142">
            <v>6790</v>
          </cell>
        </row>
        <row r="143">
          <cell r="D143" t="str">
            <v>신대방해피점</v>
          </cell>
          <cell r="E143">
            <v>693</v>
          </cell>
        </row>
        <row r="144">
          <cell r="D144" t="str">
            <v>사당종합체육관</v>
          </cell>
          <cell r="E144" t="e">
            <v>#N/A</v>
          </cell>
        </row>
        <row r="145">
          <cell r="D145" t="str">
            <v>현대오일뱅크_사당셀프주유소</v>
          </cell>
          <cell r="E145">
            <v>1080</v>
          </cell>
        </row>
        <row r="146">
          <cell r="D146" t="str">
            <v>신한은행 숭실대역 지점</v>
          </cell>
          <cell r="E146">
            <v>1399</v>
          </cell>
        </row>
        <row r="147">
          <cell r="D147" t="str">
            <v>망원2동 치안센터</v>
          </cell>
          <cell r="E147">
            <v>249</v>
          </cell>
        </row>
        <row r="148">
          <cell r="D148" t="str">
            <v>신수동주민센터</v>
          </cell>
          <cell r="E148">
            <v>2593</v>
          </cell>
        </row>
        <row r="149">
          <cell r="D149" t="str">
            <v>성산2동주민센터</v>
          </cell>
          <cell r="E149">
            <v>2948</v>
          </cell>
        </row>
        <row r="150">
          <cell r="D150" t="str">
            <v>연남동희망원룸주택</v>
          </cell>
          <cell r="E150">
            <v>1966</v>
          </cell>
        </row>
        <row r="151">
          <cell r="D151" t="str">
            <v>상암동 제1공영주차장</v>
          </cell>
          <cell r="E151">
            <v>2598</v>
          </cell>
        </row>
        <row r="152">
          <cell r="D152" t="str">
            <v>마포아트센터</v>
          </cell>
          <cell r="E152">
            <v>2769</v>
          </cell>
        </row>
        <row r="153">
          <cell r="D153" t="str">
            <v>대흥동주민센터</v>
          </cell>
          <cell r="E153">
            <v>2575</v>
          </cell>
        </row>
        <row r="154">
          <cell r="D154" t="str">
            <v>연남동 주민커뮤니티센터</v>
          </cell>
          <cell r="E154">
            <v>3604</v>
          </cell>
        </row>
        <row r="155">
          <cell r="D155" t="str">
            <v>도화동 주민센터</v>
          </cell>
          <cell r="E155">
            <v>4511</v>
          </cell>
        </row>
        <row r="156">
          <cell r="D156" t="str">
            <v>서교동교회</v>
          </cell>
          <cell r="E156">
            <v>1550</v>
          </cell>
        </row>
        <row r="157">
          <cell r="D157" t="str">
            <v>성산1동주민센터</v>
          </cell>
          <cell r="E157">
            <v>1255</v>
          </cell>
        </row>
        <row r="158">
          <cell r="D158" t="str">
            <v>서현교회</v>
          </cell>
          <cell r="E158">
            <v>592</v>
          </cell>
        </row>
        <row r="159">
          <cell r="D159" t="str">
            <v>서강동주민센터</v>
          </cell>
          <cell r="E159">
            <v>634</v>
          </cell>
        </row>
        <row r="160">
          <cell r="D160" t="str">
            <v>상암동주민센터후문</v>
          </cell>
          <cell r="E160">
            <v>229</v>
          </cell>
        </row>
        <row r="161">
          <cell r="D161" t="str">
            <v>동교치안센터</v>
          </cell>
          <cell r="E161" t="e">
            <v>#N/A</v>
          </cell>
        </row>
        <row r="162">
          <cell r="D162" t="str">
            <v>남가좌2동 제2공영주차장</v>
          </cell>
          <cell r="E162">
            <v>233</v>
          </cell>
        </row>
        <row r="163">
          <cell r="D163" t="str">
            <v>신한은행_남가좌동점</v>
          </cell>
          <cell r="E163" t="e">
            <v>#N/A</v>
          </cell>
        </row>
        <row r="164">
          <cell r="D164" t="str">
            <v>홍제3동 주민센터</v>
          </cell>
          <cell r="E164">
            <v>1645</v>
          </cell>
        </row>
        <row r="165">
          <cell r="D165" t="str">
            <v>홍은2동 주민센터</v>
          </cell>
          <cell r="E165">
            <v>2592</v>
          </cell>
        </row>
        <row r="166">
          <cell r="D166" t="str">
            <v>연희동주민센터</v>
          </cell>
          <cell r="E166">
            <v>2522</v>
          </cell>
        </row>
        <row r="167">
          <cell r="D167" t="str">
            <v>홍은1동주민센터</v>
          </cell>
          <cell r="E167">
            <v>1992</v>
          </cell>
        </row>
        <row r="168">
          <cell r="D168" t="str">
            <v>신한은행_연희동점</v>
          </cell>
          <cell r="E168" t="e">
            <v>#N/A</v>
          </cell>
        </row>
        <row r="169">
          <cell r="D169" t="str">
            <v>서부제일교회 어린이도서관</v>
          </cell>
          <cell r="E169">
            <v>557</v>
          </cell>
        </row>
        <row r="170">
          <cell r="D170" t="str">
            <v>봉원교회 북카페 옆</v>
          </cell>
          <cell r="E170">
            <v>977</v>
          </cell>
        </row>
        <row r="171">
          <cell r="D171" t="str">
            <v>북아현동 주민센터</v>
          </cell>
          <cell r="E171">
            <v>6197</v>
          </cell>
        </row>
        <row r="172">
          <cell r="D172" t="str">
            <v>충현동주민센터</v>
          </cell>
          <cell r="E172">
            <v>1284</v>
          </cell>
        </row>
        <row r="173">
          <cell r="D173" t="str">
            <v>청년누리</v>
          </cell>
          <cell r="E173">
            <v>899</v>
          </cell>
        </row>
        <row r="174">
          <cell r="D174" t="str">
            <v>신한은행 명지대 지점</v>
          </cell>
          <cell r="E174">
            <v>920</v>
          </cell>
        </row>
        <row r="175">
          <cell r="D175" t="str">
            <v>양재2동주민센터</v>
          </cell>
          <cell r="E175">
            <v>3543</v>
          </cell>
        </row>
        <row r="176">
          <cell r="D176" t="str">
            <v>양재1동민원분소</v>
          </cell>
          <cell r="E176">
            <v>272</v>
          </cell>
        </row>
        <row r="177">
          <cell r="D177" t="str">
            <v>언구비 공영주차장</v>
          </cell>
          <cell r="E177">
            <v>2627</v>
          </cell>
        </row>
        <row r="178">
          <cell r="D178" t="str">
            <v>방배열린문화센터</v>
          </cell>
          <cell r="E178">
            <v>4200</v>
          </cell>
        </row>
        <row r="179">
          <cell r="D179" t="str">
            <v>방배2동 주민센터</v>
          </cell>
          <cell r="E179">
            <v>2362</v>
          </cell>
        </row>
        <row r="180">
          <cell r="D180" t="str">
            <v>서초꿈나무라이온스 보금자리</v>
          </cell>
          <cell r="E180">
            <v>1491</v>
          </cell>
        </row>
        <row r="181">
          <cell r="D181" t="str">
            <v>방음언덕형 공영주차장</v>
          </cell>
          <cell r="E181">
            <v>612</v>
          </cell>
        </row>
        <row r="182">
          <cell r="D182" t="str">
            <v>성동구민종합체육센터</v>
          </cell>
          <cell r="E182">
            <v>2290</v>
          </cell>
        </row>
        <row r="183">
          <cell r="D183" t="str">
            <v>성동구립도서관</v>
          </cell>
          <cell r="E183">
            <v>5305</v>
          </cell>
        </row>
        <row r="184">
          <cell r="D184" t="str">
            <v>왕십리2동주민센터</v>
          </cell>
          <cell r="E184" t="e">
            <v>#N/A</v>
          </cell>
        </row>
        <row r="185">
          <cell r="D185" t="str">
            <v>사근동주민센터</v>
          </cell>
          <cell r="E185">
            <v>1270</v>
          </cell>
        </row>
        <row r="186">
          <cell r="D186" t="str">
            <v>열린금호교육문화관</v>
          </cell>
          <cell r="E186">
            <v>758</v>
          </cell>
        </row>
        <row r="187">
          <cell r="D187" t="str">
            <v>성수2가3동 공영주차장</v>
          </cell>
          <cell r="E187">
            <v>168</v>
          </cell>
        </row>
        <row r="188">
          <cell r="D188" t="str">
            <v>신한은행_화양동점</v>
          </cell>
          <cell r="E188" t="e">
            <v>#N/A</v>
          </cell>
        </row>
        <row r="189">
          <cell r="D189" t="str">
            <v>용답건물</v>
          </cell>
          <cell r="E189">
            <v>98</v>
          </cell>
        </row>
        <row r="190">
          <cell r="D190" t="str">
            <v>하왕십리공영주차장</v>
          </cell>
          <cell r="E190">
            <v>503</v>
          </cell>
        </row>
        <row r="191">
          <cell r="D191" t="str">
            <v>강변공영주차장</v>
          </cell>
          <cell r="E191">
            <v>202</v>
          </cell>
        </row>
        <row r="192">
          <cell r="D192" t="str">
            <v>성북희망나눔봉사센터</v>
          </cell>
          <cell r="E192">
            <v>2348</v>
          </cell>
        </row>
        <row r="193">
          <cell r="D193" t="str">
            <v>안암교회</v>
          </cell>
          <cell r="E193">
            <v>2857</v>
          </cell>
        </row>
        <row r="194">
          <cell r="D194" t="str">
            <v>제일빌딩</v>
          </cell>
          <cell r="E194">
            <v>1833</v>
          </cell>
        </row>
        <row r="195">
          <cell r="D195" t="str">
            <v>아리랑 시네미디어센터</v>
          </cell>
          <cell r="E195">
            <v>2840</v>
          </cell>
        </row>
        <row r="196">
          <cell r="D196" t="str">
            <v>장위1동 주민센터</v>
          </cell>
          <cell r="E196">
            <v>4983</v>
          </cell>
        </row>
        <row r="197">
          <cell r="D197" t="str">
            <v>성북청소년수련관</v>
          </cell>
          <cell r="E197">
            <v>653</v>
          </cell>
        </row>
        <row r="198">
          <cell r="D198" t="str">
            <v>석관동주민센터</v>
          </cell>
          <cell r="E198">
            <v>1113</v>
          </cell>
        </row>
        <row r="199">
          <cell r="D199" t="str">
            <v>보문부모아이지원센터</v>
          </cell>
          <cell r="E199">
            <v>332</v>
          </cell>
        </row>
        <row r="200">
          <cell r="D200" t="str">
            <v>성북정릉감리교회</v>
          </cell>
          <cell r="E200" t="e">
            <v>#N/A</v>
          </cell>
        </row>
        <row r="201">
          <cell r="D201" t="str">
            <v>삼전지구대</v>
          </cell>
          <cell r="E201">
            <v>52</v>
          </cell>
        </row>
        <row r="202">
          <cell r="D202" t="str">
            <v>장지동 주민센터</v>
          </cell>
          <cell r="E202">
            <v>2330</v>
          </cell>
        </row>
        <row r="203">
          <cell r="D203" t="str">
            <v>거여2동주민센터</v>
          </cell>
          <cell r="E203">
            <v>2631</v>
          </cell>
        </row>
        <row r="204">
          <cell r="D204" t="str">
            <v>마천2동주민센터</v>
          </cell>
          <cell r="E204">
            <v>1719</v>
          </cell>
        </row>
        <row r="205">
          <cell r="D205" t="str">
            <v>석촌동주민센터</v>
          </cell>
          <cell r="E205">
            <v>2639</v>
          </cell>
        </row>
        <row r="206">
          <cell r="D206" t="str">
            <v>송파노인종합복지관</v>
          </cell>
          <cell r="E206">
            <v>3416</v>
          </cell>
        </row>
        <row r="207">
          <cell r="D207" t="str">
            <v>여의도 순복음송파교회</v>
          </cell>
          <cell r="E207">
            <v>3367</v>
          </cell>
        </row>
        <row r="208">
          <cell r="D208" t="str">
            <v>송파여성 문화회관</v>
          </cell>
          <cell r="E208">
            <v>7549</v>
          </cell>
        </row>
        <row r="209">
          <cell r="D209" t="str">
            <v>거여1동주민센터</v>
          </cell>
          <cell r="E209">
            <v>1080</v>
          </cell>
        </row>
        <row r="210">
          <cell r="D210" t="str">
            <v>가락2동치안센터</v>
          </cell>
          <cell r="E210">
            <v>335</v>
          </cell>
        </row>
        <row r="211">
          <cell r="D211" t="str">
            <v>문정1동 주민센터</v>
          </cell>
          <cell r="E211">
            <v>2937</v>
          </cell>
        </row>
        <row r="212">
          <cell r="D212" t="str">
            <v>양천나눔누리센터</v>
          </cell>
          <cell r="E212">
            <v>3951</v>
          </cell>
        </row>
        <row r="213">
          <cell r="D213" t="str">
            <v>목동실버복지문화센터</v>
          </cell>
          <cell r="E213">
            <v>3447</v>
          </cell>
        </row>
        <row r="214">
          <cell r="D214" t="str">
            <v>신월3동주민센터</v>
          </cell>
          <cell r="E214">
            <v>1770</v>
          </cell>
        </row>
        <row r="215">
          <cell r="D215" t="str">
            <v>신정4동주민센터</v>
          </cell>
          <cell r="E215">
            <v>3991</v>
          </cell>
        </row>
        <row r="216">
          <cell r="D216" t="str">
            <v>목동문화체육센터</v>
          </cell>
          <cell r="E216">
            <v>3775</v>
          </cell>
        </row>
        <row r="217">
          <cell r="D217" t="str">
            <v>신월문화체육센터</v>
          </cell>
          <cell r="E217">
            <v>2024</v>
          </cell>
        </row>
        <row r="218">
          <cell r="D218" t="str">
            <v>신월5동주민센터</v>
          </cell>
          <cell r="E218">
            <v>2792</v>
          </cell>
        </row>
        <row r="219">
          <cell r="D219" t="str">
            <v>신월4동주민센터</v>
          </cell>
          <cell r="E219">
            <v>1789</v>
          </cell>
        </row>
        <row r="220">
          <cell r="D220" t="str">
            <v>목3동 주민센터</v>
          </cell>
          <cell r="E220">
            <v>2621</v>
          </cell>
        </row>
        <row r="221">
          <cell r="D221" t="str">
            <v>목동보건지소</v>
          </cell>
          <cell r="E221">
            <v>814</v>
          </cell>
        </row>
        <row r="222">
          <cell r="D222" t="str">
            <v>경창시장고객주차장</v>
          </cell>
          <cell r="E222">
            <v>1</v>
          </cell>
        </row>
        <row r="223">
          <cell r="D223" t="str">
            <v>신월1동 청소년독서실</v>
          </cell>
          <cell r="E223">
            <v>163</v>
          </cell>
        </row>
        <row r="224">
          <cell r="D224" t="str">
            <v>영등포 평생학습관</v>
          </cell>
          <cell r="E224">
            <v>1769</v>
          </cell>
        </row>
        <row r="225">
          <cell r="D225" t="str">
            <v>영등포본동주민센터</v>
          </cell>
          <cell r="E225">
            <v>2519</v>
          </cell>
        </row>
        <row r="226">
          <cell r="D226" t="str">
            <v>신길4동1동1마을공영주차장</v>
          </cell>
          <cell r="E226">
            <v>2854</v>
          </cell>
        </row>
        <row r="227">
          <cell r="D227" t="str">
            <v>신길7동 주민센터</v>
          </cell>
          <cell r="E227">
            <v>2564</v>
          </cell>
        </row>
        <row r="228">
          <cell r="D228" t="str">
            <v>도림동 주민센터</v>
          </cell>
          <cell r="E228">
            <v>2728</v>
          </cell>
        </row>
        <row r="229">
          <cell r="D229" t="str">
            <v>다사랑어린이공원(경로당)</v>
          </cell>
          <cell r="E229">
            <v>951</v>
          </cell>
        </row>
        <row r="230">
          <cell r="D230" t="str">
            <v>신길1동 주민센터</v>
          </cell>
          <cell r="E230">
            <v>2548</v>
          </cell>
        </row>
        <row r="231">
          <cell r="D231" t="str">
            <v>대림정보문화도서관</v>
          </cell>
          <cell r="E231">
            <v>3173</v>
          </cell>
        </row>
        <row r="232">
          <cell r="D232" t="str">
            <v>영등포 제1스포츠센터</v>
          </cell>
          <cell r="E232">
            <v>2427</v>
          </cell>
        </row>
        <row r="233">
          <cell r="D233" t="str">
            <v>그린케어센터</v>
          </cell>
          <cell r="E233">
            <v>3401</v>
          </cell>
        </row>
        <row r="234">
          <cell r="D234" t="str">
            <v>영등포청소년상담복지센터</v>
          </cell>
          <cell r="E234">
            <v>871</v>
          </cell>
        </row>
        <row r="235">
          <cell r="D235" t="str">
            <v>신길6동복지관</v>
          </cell>
          <cell r="E235">
            <v>901</v>
          </cell>
        </row>
        <row r="236">
          <cell r="D236" t="str">
            <v>숙대 명재관 인근</v>
          </cell>
          <cell r="E236">
            <v>2049</v>
          </cell>
        </row>
        <row r="237">
          <cell r="D237" t="str">
            <v>용산치안센터(2가동주민센터)</v>
          </cell>
          <cell r="E237">
            <v>2126</v>
          </cell>
        </row>
        <row r="238">
          <cell r="D238" t="str">
            <v>효창동주민센터</v>
          </cell>
          <cell r="E238">
            <v>1588</v>
          </cell>
        </row>
        <row r="239">
          <cell r="D239" t="str">
            <v>한남동공영주차장</v>
          </cell>
          <cell r="E239">
            <v>1300</v>
          </cell>
        </row>
        <row r="240">
          <cell r="D240" t="str">
            <v>용산구청후문</v>
          </cell>
          <cell r="E240">
            <v>3502</v>
          </cell>
        </row>
        <row r="241">
          <cell r="D241" t="str">
            <v>갈월종합사회복지관</v>
          </cell>
          <cell r="E241">
            <v>3553</v>
          </cell>
        </row>
        <row r="242">
          <cell r="D242" t="str">
            <v>용산꿈나무종합타운</v>
          </cell>
          <cell r="E242">
            <v>2057</v>
          </cell>
        </row>
        <row r="243">
          <cell r="D243" t="str">
            <v>보광동주민센터</v>
          </cell>
          <cell r="E243">
            <v>1583</v>
          </cell>
        </row>
        <row r="244">
          <cell r="D244" t="str">
            <v>효창종합사회복지관</v>
          </cell>
          <cell r="E244">
            <v>23</v>
          </cell>
        </row>
        <row r="245">
          <cell r="D245" t="str">
            <v>갈현청소년센터쉼쉼</v>
          </cell>
          <cell r="E245">
            <v>111</v>
          </cell>
        </row>
        <row r="246">
          <cell r="D246" t="str">
            <v>시립은평청소년센터</v>
          </cell>
          <cell r="E246">
            <v>21</v>
          </cell>
        </row>
        <row r="247">
          <cell r="D247" t="str">
            <v>연신내 지구대</v>
          </cell>
          <cell r="E247">
            <v>2640</v>
          </cell>
        </row>
        <row r="248">
          <cell r="D248" t="str">
            <v>불광보건소</v>
          </cell>
          <cell r="E248">
            <v>1130</v>
          </cell>
        </row>
        <row r="249">
          <cell r="D249" t="str">
            <v>구산동주민센터</v>
          </cell>
          <cell r="E249">
            <v>2382</v>
          </cell>
        </row>
        <row r="250">
          <cell r="D250" t="str">
            <v>신사종합사회복지관</v>
          </cell>
          <cell r="E250">
            <v>3648</v>
          </cell>
        </row>
        <row r="251">
          <cell r="D251" t="str">
            <v>불광1동 치안센터</v>
          </cell>
          <cell r="E251">
            <v>4028</v>
          </cell>
        </row>
        <row r="252">
          <cell r="D252" t="str">
            <v>녹번 119안전센터</v>
          </cell>
          <cell r="E252">
            <v>3729</v>
          </cell>
        </row>
        <row r="253">
          <cell r="D253" t="str">
            <v>증산 정보도서관</v>
          </cell>
          <cell r="E253">
            <v>6849</v>
          </cell>
        </row>
        <row r="254">
          <cell r="D254" t="str">
            <v>갈현1동 주민센터</v>
          </cell>
          <cell r="E254">
            <v>4969</v>
          </cell>
        </row>
        <row r="255">
          <cell r="D255" t="str">
            <v>역촌동 주민센터</v>
          </cell>
          <cell r="E255">
            <v>4397</v>
          </cell>
        </row>
        <row r="256">
          <cell r="D256" t="str">
            <v>아인스하임</v>
          </cell>
          <cell r="E256">
            <v>185</v>
          </cell>
        </row>
        <row r="257">
          <cell r="D257" t="str">
            <v>청운효자동 자치회관</v>
          </cell>
          <cell r="E257">
            <v>2425</v>
          </cell>
        </row>
        <row r="258">
          <cell r="D258" t="str">
            <v>종로육아종합지원센터</v>
          </cell>
          <cell r="E258">
            <v>3014</v>
          </cell>
        </row>
        <row r="259">
          <cell r="D259" t="str">
            <v>숭인1동 주민센터</v>
          </cell>
          <cell r="E259">
            <v>3252</v>
          </cell>
        </row>
        <row r="260">
          <cell r="D260" t="str">
            <v>종로구민회관</v>
          </cell>
          <cell r="E260">
            <v>960</v>
          </cell>
        </row>
        <row r="261">
          <cell r="D261" t="str">
            <v>숭인제2동주민센터</v>
          </cell>
          <cell r="E261">
            <v>176</v>
          </cell>
        </row>
        <row r="262">
          <cell r="D262" t="str">
            <v>충현 공영주차장</v>
          </cell>
          <cell r="E262">
            <v>238</v>
          </cell>
        </row>
        <row r="263">
          <cell r="D263" t="str">
            <v>약수동공영주차장</v>
          </cell>
          <cell r="E263">
            <v>1226</v>
          </cell>
        </row>
        <row r="264">
          <cell r="D264" t="str">
            <v>버티 공영주차장</v>
          </cell>
          <cell r="E264">
            <v>2442</v>
          </cell>
        </row>
        <row r="265">
          <cell r="D265" t="str">
            <v>명동주민센터</v>
          </cell>
          <cell r="E265">
            <v>2499</v>
          </cell>
        </row>
        <row r="266">
          <cell r="D266" t="str">
            <v>장충체육관 후문</v>
          </cell>
          <cell r="E266">
            <v>1455</v>
          </cell>
        </row>
        <row r="267">
          <cell r="D267" t="str">
            <v>약수교회 식당입구</v>
          </cell>
          <cell r="E267">
            <v>1565</v>
          </cell>
        </row>
        <row r="268">
          <cell r="D268" t="str">
            <v>장충공영주차장</v>
          </cell>
          <cell r="E268">
            <v>545</v>
          </cell>
        </row>
        <row r="269">
          <cell r="D269" t="str">
            <v>다산동공영주차장</v>
          </cell>
          <cell r="E269">
            <v>379</v>
          </cell>
        </row>
        <row r="270">
          <cell r="D270" t="str">
            <v>상봉2동주민센터</v>
          </cell>
          <cell r="E270">
            <v>211</v>
          </cell>
        </row>
        <row r="271">
          <cell r="D271" t="str">
            <v>면목4동주민센터</v>
          </cell>
          <cell r="E271">
            <v>2618</v>
          </cell>
        </row>
        <row r="272">
          <cell r="D272" t="str">
            <v>면목5동 주민센터</v>
          </cell>
          <cell r="E272">
            <v>2442</v>
          </cell>
        </row>
        <row r="273">
          <cell r="D273" t="str">
            <v>면목본동 주민센터</v>
          </cell>
          <cell r="E273">
            <v>5495</v>
          </cell>
        </row>
        <row r="274">
          <cell r="D274" t="str">
            <v>면목4동 작은도서관</v>
          </cell>
          <cell r="E274" t="e">
            <v>#N/A</v>
          </cell>
        </row>
        <row r="275">
          <cell r="D275" t="str">
            <v>중화1치안센터</v>
          </cell>
          <cell r="E275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(22년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D5" t="str">
            <v>논현1동주민센터</v>
          </cell>
          <cell r="E5">
            <v>2917</v>
          </cell>
        </row>
        <row r="6">
          <cell r="D6" t="str">
            <v>대치4동 주민센터</v>
          </cell>
          <cell r="E6">
            <v>11479</v>
          </cell>
        </row>
        <row r="7">
          <cell r="D7" t="str">
            <v>도곡2동주민센터</v>
          </cell>
          <cell r="E7">
            <v>5077</v>
          </cell>
        </row>
        <row r="8">
          <cell r="D8" t="str">
            <v>일원1동주민센터</v>
          </cell>
          <cell r="E8">
            <v>1848</v>
          </cell>
        </row>
        <row r="9">
          <cell r="D9" t="str">
            <v>역삼청소년수련관</v>
          </cell>
          <cell r="E9">
            <v>937</v>
          </cell>
        </row>
        <row r="10">
          <cell r="D10" t="str">
            <v>대치2동 주민센터</v>
          </cell>
          <cell r="E10">
            <v>3252</v>
          </cell>
        </row>
        <row r="11">
          <cell r="D11" t="str">
            <v>도곡1동 주민센터</v>
          </cell>
          <cell r="E11">
            <v>3896</v>
          </cell>
        </row>
        <row r="12">
          <cell r="D12" t="str">
            <v>역삼1동 주민센터</v>
          </cell>
          <cell r="E12">
            <v>1172</v>
          </cell>
        </row>
        <row r="13">
          <cell r="D13" t="str">
            <v>현대오일뱅크_현대주유소</v>
          </cell>
          <cell r="E13">
            <v>695.09444444444443</v>
          </cell>
        </row>
        <row r="14">
          <cell r="D14" t="str">
            <v>강동구립해공도서관</v>
          </cell>
          <cell r="E14">
            <v>1142</v>
          </cell>
        </row>
        <row r="15">
          <cell r="D15" t="str">
            <v>강동평생학습센터</v>
          </cell>
          <cell r="E15">
            <v>2503</v>
          </cell>
        </row>
        <row r="16">
          <cell r="D16" t="str">
            <v>강동구립암사도서관</v>
          </cell>
          <cell r="E16">
            <v>3296</v>
          </cell>
        </row>
        <row r="17">
          <cell r="D17" t="str">
            <v>길동주민센터</v>
          </cell>
          <cell r="E17">
            <v>2018</v>
          </cell>
        </row>
        <row r="18">
          <cell r="D18" t="str">
            <v>둔촌역전통시장공영주차장</v>
          </cell>
          <cell r="E18">
            <v>392</v>
          </cell>
        </row>
        <row r="19">
          <cell r="D19" t="str">
            <v>2001아울렛천호점</v>
          </cell>
          <cell r="E19">
            <v>2273</v>
          </cell>
        </row>
        <row r="20">
          <cell r="D20" t="str">
            <v>성내1동 주민센터</v>
          </cell>
          <cell r="E20">
            <v>3823</v>
          </cell>
        </row>
        <row r="21">
          <cell r="D21" t="str">
            <v>암사2동 주민센터</v>
          </cell>
          <cell r="E21">
            <v>3226</v>
          </cell>
        </row>
        <row r="22">
          <cell r="D22" t="str">
            <v>강동구민회관</v>
          </cell>
          <cell r="E22">
            <v>4495</v>
          </cell>
        </row>
        <row r="23">
          <cell r="D23" t="str">
            <v>강동구청소년회관</v>
          </cell>
          <cell r="E23">
            <v>553</v>
          </cell>
        </row>
        <row r="24">
          <cell r="D24" t="str">
            <v>수유1동 주민센터</v>
          </cell>
          <cell r="E24">
            <v>5390</v>
          </cell>
        </row>
        <row r="25">
          <cell r="D25" t="str">
            <v>강북노인종합복지회관</v>
          </cell>
          <cell r="E25">
            <v>1185</v>
          </cell>
        </row>
        <row r="26">
          <cell r="D26" t="str">
            <v>솔밭근린공원 개방화장실</v>
          </cell>
          <cell r="E26">
            <v>3664</v>
          </cell>
        </row>
        <row r="27">
          <cell r="D27" t="str">
            <v>강북문화예술회관</v>
          </cell>
          <cell r="E27">
            <v>1567</v>
          </cell>
        </row>
        <row r="28">
          <cell r="D28" t="str">
            <v>번동북부시장 북부마트</v>
          </cell>
          <cell r="E28">
            <v>1299</v>
          </cell>
        </row>
        <row r="29">
          <cell r="D29" t="str">
            <v>수유역1번출구</v>
          </cell>
          <cell r="E29">
            <v>3467</v>
          </cell>
        </row>
        <row r="30">
          <cell r="D30" t="str">
            <v>미아동 복합청사</v>
          </cell>
          <cell r="E30">
            <v>4573</v>
          </cell>
        </row>
        <row r="31">
          <cell r="D31" t="str">
            <v>강북구청 본관 입구</v>
          </cell>
          <cell r="E31">
            <v>3871</v>
          </cell>
        </row>
        <row r="32">
          <cell r="D32" t="str">
            <v>미아사거리역 1번출구</v>
          </cell>
          <cell r="E32">
            <v>2096</v>
          </cell>
        </row>
        <row r="33">
          <cell r="D33" t="str">
            <v>신방화역환승주차장</v>
          </cell>
          <cell r="E33">
            <v>845</v>
          </cell>
        </row>
        <row r="34">
          <cell r="D34" t="str">
            <v>화곡8동 주민센터</v>
          </cell>
          <cell r="E34">
            <v>2793</v>
          </cell>
        </row>
        <row r="35">
          <cell r="D35" t="str">
            <v>가로공원공영주차장1번출구</v>
          </cell>
          <cell r="E35">
            <v>2754</v>
          </cell>
        </row>
        <row r="36">
          <cell r="D36" t="str">
            <v>화곡 6-1 공영주차장</v>
          </cell>
          <cell r="E36">
            <v>2147</v>
          </cell>
        </row>
        <row r="37">
          <cell r="D37" t="str">
            <v>화곡3-1공영주차장</v>
          </cell>
          <cell r="E37">
            <v>1178</v>
          </cell>
        </row>
        <row r="38">
          <cell r="D38" t="str">
            <v>화곡 1-1 공영주차장</v>
          </cell>
          <cell r="E38">
            <v>1532</v>
          </cell>
        </row>
        <row r="39">
          <cell r="D39" t="str">
            <v>내발산동 문화센터</v>
          </cell>
          <cell r="E39">
            <v>2760</v>
          </cell>
        </row>
        <row r="40">
          <cell r="D40" t="str">
            <v>곰달래복지문화센터</v>
          </cell>
          <cell r="E40">
            <v>2535</v>
          </cell>
        </row>
        <row r="41">
          <cell r="D41" t="str">
            <v>화곡4동 주민센터</v>
          </cell>
          <cell r="E41">
            <v>4096</v>
          </cell>
        </row>
        <row r="42">
          <cell r="D42" t="str">
            <v>볏골공원공영주차장</v>
          </cell>
          <cell r="E42">
            <v>3608</v>
          </cell>
        </row>
        <row r="43">
          <cell r="D43" t="str">
            <v>공항동 주민센터</v>
          </cell>
          <cell r="E43">
            <v>2783</v>
          </cell>
        </row>
        <row r="44">
          <cell r="D44" t="str">
            <v>발산1동주민센터</v>
          </cell>
          <cell r="E44">
            <v>2017</v>
          </cell>
        </row>
        <row r="45">
          <cell r="D45" t="str">
            <v>화곡2동주민센터</v>
          </cell>
          <cell r="E45">
            <v>429</v>
          </cell>
        </row>
        <row r="46">
          <cell r="D46" t="str">
            <v>길꽃어린이도서관</v>
          </cell>
          <cell r="E46">
            <v>956</v>
          </cell>
        </row>
        <row r="47">
          <cell r="D47" t="str">
            <v>서원동주민센터</v>
          </cell>
          <cell r="E47">
            <v>3060</v>
          </cell>
        </row>
        <row r="48">
          <cell r="D48" t="str">
            <v>관악청소년회관</v>
          </cell>
          <cell r="E48">
            <v>3284</v>
          </cell>
        </row>
        <row r="49">
          <cell r="D49" t="str">
            <v>인헌동주민센터</v>
          </cell>
          <cell r="E49">
            <v>2926</v>
          </cell>
        </row>
        <row r="50">
          <cell r="D50" t="str">
            <v>대학동치안센터</v>
          </cell>
          <cell r="E50">
            <v>4291</v>
          </cell>
        </row>
        <row r="51">
          <cell r="D51" t="str">
            <v>남현동 주민센터</v>
          </cell>
          <cell r="E51">
            <v>1941</v>
          </cell>
        </row>
        <row r="52">
          <cell r="D52" t="str">
            <v>청룡동 주민센터</v>
          </cell>
          <cell r="E52">
            <v>1800</v>
          </cell>
        </row>
        <row r="53">
          <cell r="D53" t="str">
            <v>조원동주민센터</v>
          </cell>
          <cell r="E53">
            <v>2103</v>
          </cell>
        </row>
        <row r="54">
          <cell r="D54" t="str">
            <v>신사동자치회관</v>
          </cell>
          <cell r="E54">
            <v>3034</v>
          </cell>
        </row>
        <row r="55">
          <cell r="D55" t="str">
            <v>행운동주민센터</v>
          </cell>
          <cell r="E55">
            <v>5449</v>
          </cell>
        </row>
        <row r="56">
          <cell r="D56" t="str">
            <v>관악구청</v>
          </cell>
          <cell r="E56">
            <v>2286</v>
          </cell>
        </row>
        <row r="57">
          <cell r="D57" t="str">
            <v>신림여성회관</v>
          </cell>
          <cell r="E57">
            <v>783</v>
          </cell>
        </row>
        <row r="58">
          <cell r="D58" t="str">
            <v>미성동자치회관</v>
          </cell>
          <cell r="E58">
            <v>2112</v>
          </cell>
        </row>
        <row r="59">
          <cell r="D59" t="str">
            <v>신한은행_신림역</v>
          </cell>
          <cell r="E59">
            <v>26</v>
          </cell>
        </row>
        <row r="60">
          <cell r="D60" t="str">
            <v>현대오일뱅크_관악셀프주유소</v>
          </cell>
          <cell r="E60">
            <v>716.06944444444446</v>
          </cell>
        </row>
        <row r="61">
          <cell r="D61" t="str">
            <v>신한은행 (구)봉천서 지점</v>
          </cell>
          <cell r="E61">
            <v>1149.2916666666665</v>
          </cell>
        </row>
        <row r="62">
          <cell r="D62" t="str">
            <v>신한은행 신림대학동 지점</v>
          </cell>
          <cell r="E62">
            <v>377.12222222222226</v>
          </cell>
        </row>
        <row r="63">
          <cell r="D63" t="str">
            <v>구의1동공영주차장</v>
          </cell>
          <cell r="E63">
            <v>1054</v>
          </cell>
        </row>
        <row r="64">
          <cell r="D64" t="str">
            <v>동부여성발전센터</v>
          </cell>
          <cell r="E64">
            <v>3119</v>
          </cell>
        </row>
        <row r="65">
          <cell r="D65" t="str">
            <v>중곡1동주민센터</v>
          </cell>
          <cell r="E65">
            <v>1440</v>
          </cell>
        </row>
        <row r="66">
          <cell r="D66" t="str">
            <v>광진경찰서</v>
          </cell>
          <cell r="E66">
            <v>1720</v>
          </cell>
        </row>
        <row r="67">
          <cell r="D67" t="str">
            <v>자양2동주민센터</v>
          </cell>
          <cell r="E67">
            <v>770</v>
          </cell>
        </row>
        <row r="68">
          <cell r="D68" t="str">
            <v>중곡감리교회</v>
          </cell>
          <cell r="E68">
            <v>1127</v>
          </cell>
        </row>
        <row r="69">
          <cell r="D69" t="str">
            <v>구의2동주택가 공동주차장</v>
          </cell>
          <cell r="E69">
            <v>2404</v>
          </cell>
        </row>
        <row r="70">
          <cell r="D70" t="str">
            <v>자양종합사회복지관</v>
          </cell>
          <cell r="E70">
            <v>3418</v>
          </cell>
        </row>
        <row r="71">
          <cell r="D71" t="str">
            <v>중곡문화체육센터</v>
          </cell>
          <cell r="E71">
            <v>2727</v>
          </cell>
        </row>
        <row r="72">
          <cell r="D72" t="str">
            <v>중곡종합건강센터</v>
          </cell>
          <cell r="E72">
            <v>2195</v>
          </cell>
        </row>
        <row r="73">
          <cell r="D73" t="str">
            <v>화양동주민센터</v>
          </cell>
          <cell r="E73">
            <v>2535</v>
          </cell>
        </row>
        <row r="74">
          <cell r="D74" t="str">
            <v>자양4동 주민센터</v>
          </cell>
          <cell r="E74">
            <v>3346</v>
          </cell>
        </row>
        <row r="75">
          <cell r="D75" t="str">
            <v>자양문화체육센터</v>
          </cell>
          <cell r="E75">
            <v>167</v>
          </cell>
        </row>
        <row r="76">
          <cell r="D76" t="str">
            <v>현대오일뱅크_중원주유소</v>
          </cell>
          <cell r="E76">
            <v>98.00277777777778</v>
          </cell>
        </row>
        <row r="77">
          <cell r="D77" t="str">
            <v>군자동주민센터</v>
          </cell>
          <cell r="E77">
            <v>99</v>
          </cell>
        </row>
        <row r="78">
          <cell r="D78" t="str">
            <v>구로2동주민센터앞</v>
          </cell>
          <cell r="E78">
            <v>1952</v>
          </cell>
        </row>
        <row r="79">
          <cell r="D79" t="str">
            <v>오류1동텃골공영주차장</v>
          </cell>
          <cell r="E79">
            <v>2627</v>
          </cell>
        </row>
        <row r="80">
          <cell r="D80" t="str">
            <v>가리봉동주민센터</v>
          </cell>
          <cell r="E80">
            <v>226</v>
          </cell>
        </row>
        <row r="81">
          <cell r="D81" t="str">
            <v>구로구 시설관리공단</v>
          </cell>
          <cell r="E81">
            <v>1430</v>
          </cell>
        </row>
        <row r="82">
          <cell r="D82" t="str">
            <v>서울교통공사대림별관</v>
          </cell>
          <cell r="E82">
            <v>1406</v>
          </cell>
        </row>
        <row r="83">
          <cell r="D83" t="str">
            <v>온수동_공용이용시설</v>
          </cell>
          <cell r="E83">
            <v>1863</v>
          </cell>
        </row>
        <row r="84">
          <cell r="D84" t="str">
            <v>궁동종합사회복지관</v>
          </cell>
          <cell r="E84">
            <v>1077</v>
          </cell>
        </row>
        <row r="85">
          <cell r="D85" t="str">
            <v>구로역1번출구 NC백화점</v>
          </cell>
          <cell r="E85">
            <v>1895</v>
          </cell>
        </row>
        <row r="86">
          <cell r="D86" t="str">
            <v>동양미래대학교 기숙사</v>
          </cell>
          <cell r="E86">
            <v>270</v>
          </cell>
        </row>
        <row r="87">
          <cell r="D87" t="str">
            <v>구로구민회관</v>
          </cell>
          <cell r="E87">
            <v>1368</v>
          </cell>
        </row>
        <row r="88">
          <cell r="D88" t="str">
            <v>구로구민체육센터</v>
          </cell>
          <cell r="E88">
            <v>995</v>
          </cell>
        </row>
        <row r="89">
          <cell r="D89" t="str">
            <v>현대오일뱅크_구로셀프주유소</v>
          </cell>
          <cell r="E89">
            <v>322.06666666666666</v>
          </cell>
        </row>
        <row r="90">
          <cell r="D90" t="str">
            <v>중앙경로당</v>
          </cell>
          <cell r="E90">
            <v>180</v>
          </cell>
        </row>
        <row r="91">
          <cell r="D91" t="str">
            <v>금빛휘트니스센터</v>
          </cell>
          <cell r="E91">
            <v>2306</v>
          </cell>
        </row>
        <row r="92">
          <cell r="D92" t="str">
            <v>청춘삘딩</v>
          </cell>
          <cell r="E92">
            <v>56</v>
          </cell>
        </row>
        <row r="93">
          <cell r="D93" t="str">
            <v>신한은행_금천점</v>
          </cell>
          <cell r="E93">
            <v>46</v>
          </cell>
        </row>
        <row r="94">
          <cell r="D94" t="str">
            <v>시흥4동 주민센터</v>
          </cell>
          <cell r="E94">
            <v>3389</v>
          </cell>
        </row>
        <row r="95">
          <cell r="D95" t="str">
            <v>금천호암노인복지관</v>
          </cell>
          <cell r="E95">
            <v>598</v>
          </cell>
        </row>
        <row r="96">
          <cell r="D96" t="str">
            <v>신한은행_디지털라운지</v>
          </cell>
          <cell r="E96">
            <v>1</v>
          </cell>
        </row>
        <row r="97">
          <cell r="D97" t="str">
            <v>시흥3동 주민센터</v>
          </cell>
          <cell r="E97">
            <v>1960</v>
          </cell>
        </row>
        <row r="98">
          <cell r="D98" t="str">
            <v>독산1동주민센터</v>
          </cell>
          <cell r="E98">
            <v>2164</v>
          </cell>
        </row>
        <row r="99">
          <cell r="D99" t="str">
            <v>금천구청</v>
          </cell>
          <cell r="E99">
            <v>1773</v>
          </cell>
        </row>
        <row r="100">
          <cell r="D100" t="str">
            <v>독산2동주민센터</v>
          </cell>
          <cell r="E100">
            <v>1058</v>
          </cell>
        </row>
        <row r="101">
          <cell r="D101" t="str">
            <v>상계2동주민센터</v>
          </cell>
          <cell r="E101">
            <v>2915</v>
          </cell>
        </row>
        <row r="102">
          <cell r="D102" t="str">
            <v>월계문화정보도서관</v>
          </cell>
          <cell r="E102">
            <v>2893</v>
          </cell>
        </row>
        <row r="103">
          <cell r="D103" t="str">
            <v>상계3,4동 주민센터</v>
          </cell>
          <cell r="E103">
            <v>1480</v>
          </cell>
        </row>
        <row r="104">
          <cell r="D104" t="str">
            <v>상계역 자전거대여소</v>
          </cell>
          <cell r="E104">
            <v>5819</v>
          </cell>
        </row>
        <row r="105">
          <cell r="D105" t="str">
            <v>공릉 청소년문화정보센터</v>
          </cell>
          <cell r="E105">
            <v>3748</v>
          </cell>
        </row>
        <row r="106">
          <cell r="D106" t="str">
            <v>공릉1동 주민센터(노원)</v>
          </cell>
          <cell r="E106">
            <v>3135</v>
          </cell>
        </row>
        <row r="107">
          <cell r="D107" t="str">
            <v>월계치안센터</v>
          </cell>
          <cell r="E107">
            <v>2005</v>
          </cell>
        </row>
        <row r="108">
          <cell r="D108" t="str">
            <v>공릉종합사회복지관</v>
          </cell>
          <cell r="E108">
            <v>1026</v>
          </cell>
        </row>
        <row r="109">
          <cell r="D109" t="str">
            <v>상계문화정보도서관</v>
          </cell>
          <cell r="E109">
            <v>521</v>
          </cell>
        </row>
        <row r="110">
          <cell r="D110" t="str">
            <v>창동역1번출구</v>
          </cell>
          <cell r="E110">
            <v>6165</v>
          </cell>
        </row>
        <row r="111">
          <cell r="D111" t="str">
            <v>도봉구민청</v>
          </cell>
          <cell r="E111">
            <v>52</v>
          </cell>
        </row>
        <row r="112">
          <cell r="D112" t="str">
            <v>창3동 주민센터</v>
          </cell>
          <cell r="E112">
            <v>1656</v>
          </cell>
        </row>
        <row r="113">
          <cell r="D113" t="str">
            <v>도봉구민회관</v>
          </cell>
          <cell r="E113">
            <v>4749</v>
          </cell>
        </row>
        <row r="114">
          <cell r="D114" t="str">
            <v>염광교회</v>
          </cell>
          <cell r="E114">
            <v>3237</v>
          </cell>
        </row>
        <row r="115">
          <cell r="D115" t="str">
            <v>창1동제1공영주차장</v>
          </cell>
          <cell r="E115">
            <v>258</v>
          </cell>
        </row>
        <row r="116">
          <cell r="D116" t="str">
            <v>창동 도봉육아종합지원센터</v>
          </cell>
          <cell r="E116">
            <v>1188</v>
          </cell>
        </row>
        <row r="117">
          <cell r="D117" t="str">
            <v>도봉서원종합사회복지관</v>
          </cell>
          <cell r="E117">
            <v>1875</v>
          </cell>
        </row>
        <row r="118">
          <cell r="D118" t="str">
            <v>방아골종합사회복지관</v>
          </cell>
          <cell r="E118">
            <v>2165</v>
          </cell>
        </row>
        <row r="119">
          <cell r="D119" t="str">
            <v>도봉1동주민센터</v>
          </cell>
          <cell r="E119">
            <v>2797</v>
          </cell>
        </row>
        <row r="120">
          <cell r="D120" t="str">
            <v>창2동 신창교회</v>
          </cell>
          <cell r="E120">
            <v>1914</v>
          </cell>
        </row>
        <row r="121">
          <cell r="D121" t="str">
            <v>나사렛교회</v>
          </cell>
          <cell r="E121">
            <v>2571</v>
          </cell>
        </row>
        <row r="122">
          <cell r="D122" t="str">
            <v>장안2동 공영주차장</v>
          </cell>
          <cell r="E122">
            <v>2650</v>
          </cell>
        </row>
        <row r="123">
          <cell r="D123" t="str">
            <v>동대문구청 종합민원실</v>
          </cell>
          <cell r="E123">
            <v>1787</v>
          </cell>
        </row>
        <row r="124">
          <cell r="D124" t="str">
            <v>동대문종합사회복지관</v>
          </cell>
          <cell r="E124">
            <v>885</v>
          </cell>
        </row>
        <row r="125">
          <cell r="D125" t="str">
            <v>회기동공영주차장</v>
          </cell>
          <cell r="E125">
            <v>2035</v>
          </cell>
        </row>
        <row r="126">
          <cell r="D126" t="str">
            <v>답십리도서관</v>
          </cell>
          <cell r="E126">
            <v>2405</v>
          </cell>
        </row>
        <row r="127">
          <cell r="D127" t="str">
            <v>정보화도서관</v>
          </cell>
          <cell r="E127">
            <v>1331</v>
          </cell>
        </row>
        <row r="128">
          <cell r="D128" t="str">
            <v>장안종합사회복지관</v>
          </cell>
          <cell r="E128">
            <v>3281</v>
          </cell>
        </row>
        <row r="129">
          <cell r="D129" t="str">
            <v>답십리2청소년독서실</v>
          </cell>
          <cell r="E129">
            <v>393</v>
          </cell>
        </row>
        <row r="130">
          <cell r="D130" t="str">
            <v>휘경동공영주차장</v>
          </cell>
          <cell r="E130">
            <v>395</v>
          </cell>
        </row>
        <row r="131">
          <cell r="D131" t="str">
            <v>신한은행 외대역 지점</v>
          </cell>
          <cell r="E131">
            <v>1872.4833333333333</v>
          </cell>
        </row>
        <row r="132">
          <cell r="D132" t="str">
            <v>이문체육문화센터</v>
          </cell>
          <cell r="E132">
            <v>125</v>
          </cell>
        </row>
        <row r="133">
          <cell r="D133" t="str">
            <v>순만빌딩</v>
          </cell>
          <cell r="E133">
            <v>3120</v>
          </cell>
        </row>
        <row r="134">
          <cell r="D134" t="str">
            <v>사당문화회관</v>
          </cell>
          <cell r="E134">
            <v>2800</v>
          </cell>
        </row>
        <row r="135">
          <cell r="D135" t="str">
            <v>상도1동주민센터</v>
          </cell>
          <cell r="E135">
            <v>2992</v>
          </cell>
        </row>
        <row r="136">
          <cell r="D136" t="str">
            <v>예그리나주택</v>
          </cell>
          <cell r="E136">
            <v>1154</v>
          </cell>
        </row>
        <row r="137">
          <cell r="D137" t="str">
            <v>강남교회 교육관</v>
          </cell>
          <cell r="E137">
            <v>1673</v>
          </cell>
        </row>
        <row r="138">
          <cell r="D138" t="str">
            <v xml:space="preserve">동작 청소년문화의 집 </v>
          </cell>
          <cell r="E138">
            <v>1175</v>
          </cell>
        </row>
        <row r="139">
          <cell r="D139" t="str">
            <v>우리은행 동작구청지점</v>
          </cell>
          <cell r="E139">
            <v>7866</v>
          </cell>
        </row>
        <row r="140">
          <cell r="D140" t="str">
            <v>사당노인종합복지관</v>
          </cell>
          <cell r="E140">
            <v>1878</v>
          </cell>
        </row>
        <row r="141">
          <cell r="D141" t="str">
            <v>스페이스살림</v>
          </cell>
          <cell r="E141">
            <v>718</v>
          </cell>
        </row>
        <row r="142">
          <cell r="D142" t="str">
            <v>상도3동 주민센터</v>
          </cell>
          <cell r="E142">
            <v>5195</v>
          </cell>
        </row>
        <row r="143">
          <cell r="D143" t="str">
            <v>신대방해피점</v>
          </cell>
          <cell r="E143">
            <v>712</v>
          </cell>
        </row>
        <row r="144">
          <cell r="D144" t="str">
            <v>사당종합체육관</v>
          </cell>
          <cell r="E144">
            <v>204</v>
          </cell>
        </row>
        <row r="145">
          <cell r="D145" t="str">
            <v>현대오일뱅크_사당셀프주유소</v>
          </cell>
          <cell r="E145">
            <v>1173.3194444444443</v>
          </cell>
        </row>
        <row r="146">
          <cell r="D146" t="str">
            <v>신한은행 숭실대역 지점</v>
          </cell>
          <cell r="E146">
            <v>1086.1083333333333</v>
          </cell>
        </row>
        <row r="147">
          <cell r="D147" t="str">
            <v>망원2동 치안센터</v>
          </cell>
          <cell r="E147">
            <v>1519</v>
          </cell>
        </row>
        <row r="148">
          <cell r="D148" t="str">
            <v>신수동주민센터</v>
          </cell>
          <cell r="E148">
            <v>1978</v>
          </cell>
        </row>
        <row r="149">
          <cell r="D149" t="str">
            <v>성산2동주민센터</v>
          </cell>
          <cell r="E149">
            <v>2108</v>
          </cell>
        </row>
        <row r="150">
          <cell r="D150" t="str">
            <v>연남동희망원룸주택</v>
          </cell>
          <cell r="E150">
            <v>1680</v>
          </cell>
        </row>
        <row r="151">
          <cell r="D151" t="str">
            <v>상암동 제1공영주차장</v>
          </cell>
          <cell r="E151">
            <v>3078</v>
          </cell>
        </row>
        <row r="152">
          <cell r="D152" t="str">
            <v>마포아트센터</v>
          </cell>
          <cell r="E152">
            <v>2752</v>
          </cell>
        </row>
        <row r="153">
          <cell r="D153" t="str">
            <v>대흥동주민센터</v>
          </cell>
          <cell r="E153">
            <v>3133</v>
          </cell>
        </row>
        <row r="154">
          <cell r="D154" t="str">
            <v>연남동 주민커뮤니티센터</v>
          </cell>
          <cell r="E154">
            <v>4190</v>
          </cell>
        </row>
        <row r="155">
          <cell r="D155" t="str">
            <v>도화동 주민센터</v>
          </cell>
          <cell r="E155">
            <v>4331</v>
          </cell>
        </row>
        <row r="156">
          <cell r="D156" t="str">
            <v>서교동교회</v>
          </cell>
          <cell r="E156">
            <v>1334</v>
          </cell>
        </row>
        <row r="157">
          <cell r="D157" t="str">
            <v>성산1동주민센터</v>
          </cell>
          <cell r="E157">
            <v>1052</v>
          </cell>
        </row>
        <row r="158">
          <cell r="D158" t="str">
            <v>서현교회</v>
          </cell>
          <cell r="E158">
            <v>3202</v>
          </cell>
        </row>
        <row r="159">
          <cell r="D159" t="str">
            <v>서강동주민센터</v>
          </cell>
          <cell r="E159">
            <v>924</v>
          </cell>
        </row>
        <row r="160">
          <cell r="D160" t="str">
            <v>상암동주민센터후문</v>
          </cell>
          <cell r="E160">
            <v>195</v>
          </cell>
        </row>
        <row r="161">
          <cell r="D161" t="str">
            <v>동교치안센터</v>
          </cell>
          <cell r="E161">
            <v>182</v>
          </cell>
        </row>
        <row r="162">
          <cell r="D162" t="str">
            <v>남가좌2동 제2공영주차장</v>
          </cell>
          <cell r="E162">
            <v>518</v>
          </cell>
        </row>
        <row r="163">
          <cell r="D163" t="str">
            <v>신한은행_남가좌동점</v>
          </cell>
          <cell r="E163">
            <v>373</v>
          </cell>
        </row>
        <row r="164">
          <cell r="D164" t="str">
            <v>홍제3동 주민센터</v>
          </cell>
          <cell r="E164">
            <v>1551</v>
          </cell>
        </row>
        <row r="165">
          <cell r="D165" t="str">
            <v>홍은2동 주민센터</v>
          </cell>
          <cell r="E165">
            <v>1569</v>
          </cell>
        </row>
        <row r="166">
          <cell r="D166" t="str">
            <v>연희동주민센터</v>
          </cell>
          <cell r="E166">
            <v>1850</v>
          </cell>
        </row>
        <row r="167">
          <cell r="D167" t="str">
            <v>홍은1동주민센터</v>
          </cell>
          <cell r="E167">
            <v>1956</v>
          </cell>
        </row>
        <row r="168">
          <cell r="D168" t="str">
            <v>신한은행_연희동점</v>
          </cell>
          <cell r="E168">
            <v>588</v>
          </cell>
        </row>
        <row r="169">
          <cell r="D169" t="str">
            <v>서부제일교회 어린이도서관</v>
          </cell>
          <cell r="E169">
            <v>540</v>
          </cell>
        </row>
        <row r="170">
          <cell r="D170" t="str">
            <v>봉원교회 북카페 옆</v>
          </cell>
          <cell r="E170">
            <v>789</v>
          </cell>
        </row>
        <row r="171">
          <cell r="D171" t="str">
            <v>북아현동 주민센터</v>
          </cell>
          <cell r="E171">
            <v>4940</v>
          </cell>
        </row>
        <row r="172">
          <cell r="D172" t="str">
            <v>충현동주민센터</v>
          </cell>
          <cell r="E172">
            <v>1562</v>
          </cell>
        </row>
        <row r="173">
          <cell r="D173" t="str">
            <v>청년누리</v>
          </cell>
          <cell r="E173">
            <v>1307</v>
          </cell>
        </row>
        <row r="174">
          <cell r="D174" t="str">
            <v>신한은행 명지대 지점</v>
          </cell>
          <cell r="E174">
            <v>1609.425</v>
          </cell>
        </row>
        <row r="175">
          <cell r="D175" t="str">
            <v>양재2동주민센터</v>
          </cell>
          <cell r="E175">
            <v>3529</v>
          </cell>
        </row>
        <row r="176">
          <cell r="D176" t="str">
            <v>양재1동민원분소</v>
          </cell>
          <cell r="E176">
            <v>1072</v>
          </cell>
        </row>
        <row r="177">
          <cell r="D177" t="str">
            <v>언구비 공영주차장</v>
          </cell>
          <cell r="E177">
            <v>2876</v>
          </cell>
        </row>
        <row r="178">
          <cell r="D178" t="str">
            <v>방배열린문화센터</v>
          </cell>
          <cell r="E178">
            <v>3645</v>
          </cell>
        </row>
        <row r="179">
          <cell r="D179" t="str">
            <v>방배2동 주민센터</v>
          </cell>
          <cell r="E179">
            <v>1662</v>
          </cell>
        </row>
        <row r="180">
          <cell r="D180" t="str">
            <v>서초꿈나무라이온스 보금자리</v>
          </cell>
          <cell r="E180">
            <v>1508</v>
          </cell>
        </row>
        <row r="181">
          <cell r="D181" t="str">
            <v>방음언덕형 공영주차장</v>
          </cell>
          <cell r="E181">
            <v>354</v>
          </cell>
        </row>
        <row r="182">
          <cell r="D182" t="str">
            <v>성동구민종합체육센터</v>
          </cell>
          <cell r="E182">
            <v>2328</v>
          </cell>
        </row>
        <row r="183">
          <cell r="D183" t="str">
            <v>성동구립도서관</v>
          </cell>
          <cell r="E183">
            <v>5975</v>
          </cell>
        </row>
        <row r="184">
          <cell r="D184" t="str">
            <v>왕십리2동주민센터</v>
          </cell>
          <cell r="E184">
            <v>2830</v>
          </cell>
        </row>
        <row r="185">
          <cell r="D185" t="str">
            <v>사근동주민센터</v>
          </cell>
          <cell r="E185">
            <v>844</v>
          </cell>
        </row>
        <row r="186">
          <cell r="D186" t="str">
            <v>열린금호교육문화관</v>
          </cell>
          <cell r="E186">
            <v>1019</v>
          </cell>
        </row>
        <row r="187">
          <cell r="D187" t="str">
            <v>성수2가3동 공영주차장</v>
          </cell>
          <cell r="E187">
            <v>221</v>
          </cell>
        </row>
        <row r="188">
          <cell r="D188" t="str">
            <v>신한은행_화양동점</v>
          </cell>
          <cell r="E188">
            <v>74</v>
          </cell>
        </row>
        <row r="189">
          <cell r="D189" t="str">
            <v>용답공영주차장</v>
          </cell>
          <cell r="E189">
            <v>484</v>
          </cell>
        </row>
        <row r="190">
          <cell r="D190" t="str">
            <v>하왕십리공영주차장</v>
          </cell>
          <cell r="E190">
            <v>625</v>
          </cell>
        </row>
        <row r="191">
          <cell r="D191" t="str">
            <v>강변공영주차장</v>
          </cell>
          <cell r="E191">
            <v>411</v>
          </cell>
        </row>
        <row r="192">
          <cell r="D192" t="str">
            <v>성북희망나눔봉사센터</v>
          </cell>
          <cell r="E192">
            <v>2728</v>
          </cell>
        </row>
        <row r="193">
          <cell r="D193" t="str">
            <v>안암교회</v>
          </cell>
          <cell r="E193">
            <v>2113</v>
          </cell>
        </row>
        <row r="194">
          <cell r="D194" t="str">
            <v>제일빌딩</v>
          </cell>
          <cell r="E194">
            <v>1426</v>
          </cell>
        </row>
        <row r="195">
          <cell r="D195" t="str">
            <v>아리랑 시네미디어센터</v>
          </cell>
          <cell r="E195">
            <v>3102</v>
          </cell>
        </row>
        <row r="196">
          <cell r="D196" t="str">
            <v>장위1동 주민센터</v>
          </cell>
          <cell r="E196">
            <v>3941</v>
          </cell>
        </row>
        <row r="197">
          <cell r="D197" t="str">
            <v>성북청소년수련관</v>
          </cell>
          <cell r="E197">
            <v>521</v>
          </cell>
        </row>
        <row r="198">
          <cell r="D198" t="str">
            <v>석관동주민센터</v>
          </cell>
          <cell r="E198">
            <v>1355</v>
          </cell>
        </row>
        <row r="199">
          <cell r="D199" t="str">
            <v>보문부모아이지원센터</v>
          </cell>
          <cell r="E199">
            <v>758</v>
          </cell>
        </row>
        <row r="200">
          <cell r="D200" t="str">
            <v>성북정릉감리교회</v>
          </cell>
          <cell r="E200">
            <v>337</v>
          </cell>
        </row>
        <row r="201">
          <cell r="D201" t="str">
            <v>삼전지구대</v>
          </cell>
          <cell r="E201">
            <v>408</v>
          </cell>
        </row>
        <row r="202">
          <cell r="D202" t="str">
            <v>장지동 주민센터</v>
          </cell>
          <cell r="E202">
            <v>1895</v>
          </cell>
        </row>
        <row r="203">
          <cell r="D203" t="str">
            <v>거여2동주민센터</v>
          </cell>
          <cell r="E203">
            <v>2310</v>
          </cell>
        </row>
        <row r="204">
          <cell r="D204" t="str">
            <v>마천2동주민센터</v>
          </cell>
          <cell r="E204">
            <v>1745</v>
          </cell>
        </row>
        <row r="205">
          <cell r="D205" t="str">
            <v>석촌동주민센터</v>
          </cell>
          <cell r="E205">
            <v>2891</v>
          </cell>
        </row>
        <row r="206">
          <cell r="D206" t="str">
            <v>송파노인종합복지관</v>
          </cell>
          <cell r="E206">
            <v>2323</v>
          </cell>
        </row>
        <row r="207">
          <cell r="D207" t="str">
            <v>여의도 순복음송파교회</v>
          </cell>
          <cell r="E207">
            <v>3027</v>
          </cell>
        </row>
        <row r="208">
          <cell r="D208" t="str">
            <v>송파여성 문화회관</v>
          </cell>
          <cell r="E208">
            <v>7524</v>
          </cell>
        </row>
        <row r="209">
          <cell r="D209" t="str">
            <v>거여1동주민센터</v>
          </cell>
          <cell r="E209">
            <v>1010</v>
          </cell>
        </row>
        <row r="210">
          <cell r="D210" t="str">
            <v>가락2동치안센터</v>
          </cell>
          <cell r="E210">
            <v>635</v>
          </cell>
        </row>
        <row r="211">
          <cell r="D211" t="str">
            <v>문정1동 주민센터</v>
          </cell>
          <cell r="E211">
            <v>3203</v>
          </cell>
        </row>
        <row r="212">
          <cell r="D212" t="str">
            <v>양천나눔누리센터</v>
          </cell>
          <cell r="E212">
            <v>4003</v>
          </cell>
        </row>
        <row r="213">
          <cell r="D213" t="str">
            <v>목동실버복지문화센터</v>
          </cell>
          <cell r="E213">
            <v>4033</v>
          </cell>
        </row>
        <row r="214">
          <cell r="D214" t="str">
            <v>신월3동주민센터</v>
          </cell>
          <cell r="E214">
            <v>2721</v>
          </cell>
        </row>
        <row r="215">
          <cell r="D215" t="str">
            <v>신정4동주민센터</v>
          </cell>
          <cell r="E215">
            <v>4359</v>
          </cell>
        </row>
        <row r="216">
          <cell r="D216" t="str">
            <v>목동문화체육센터</v>
          </cell>
          <cell r="E216">
            <v>3154</v>
          </cell>
        </row>
        <row r="217">
          <cell r="D217" t="str">
            <v>신월문화체육센터</v>
          </cell>
          <cell r="E217">
            <v>1322</v>
          </cell>
        </row>
        <row r="218">
          <cell r="D218" t="str">
            <v>신월5동주민센터</v>
          </cell>
          <cell r="E218">
            <v>1772</v>
          </cell>
        </row>
        <row r="219">
          <cell r="D219" t="str">
            <v>신월4동주민센터</v>
          </cell>
          <cell r="E219">
            <v>1496</v>
          </cell>
        </row>
        <row r="220">
          <cell r="D220" t="str">
            <v>목3동 주민센터</v>
          </cell>
          <cell r="E220">
            <v>2486</v>
          </cell>
        </row>
        <row r="221">
          <cell r="D221" t="str">
            <v>목동보건지소</v>
          </cell>
          <cell r="E221">
            <v>930</v>
          </cell>
        </row>
        <row r="222">
          <cell r="D222" t="str">
            <v>경창시장고객주차장</v>
          </cell>
          <cell r="E222">
            <v>102</v>
          </cell>
        </row>
        <row r="223">
          <cell r="D223" t="str">
            <v>신월1동 청소년독서실</v>
          </cell>
          <cell r="E223">
            <v>399</v>
          </cell>
        </row>
        <row r="224">
          <cell r="D224" t="str">
            <v>영등포 평생학습관</v>
          </cell>
          <cell r="E224">
            <v>1833</v>
          </cell>
        </row>
        <row r="225">
          <cell r="D225" t="str">
            <v>영등포본동주민센터</v>
          </cell>
          <cell r="E225">
            <v>2960</v>
          </cell>
        </row>
        <row r="226">
          <cell r="D226" t="str">
            <v>신길4동1동1마을공영주차장</v>
          </cell>
          <cell r="E226">
            <v>2728</v>
          </cell>
        </row>
        <row r="227">
          <cell r="D227" t="str">
            <v>신길7동 주민센터</v>
          </cell>
          <cell r="E227">
            <v>2444</v>
          </cell>
        </row>
        <row r="228">
          <cell r="D228" t="str">
            <v>도림동 주민센터</v>
          </cell>
          <cell r="E228">
            <v>2314</v>
          </cell>
        </row>
        <row r="229">
          <cell r="D229" t="str">
            <v>다사랑어린이공원(경로당)</v>
          </cell>
          <cell r="E229">
            <v>990</v>
          </cell>
        </row>
        <row r="230">
          <cell r="D230" t="str">
            <v>신길1동 주민센터</v>
          </cell>
          <cell r="E230">
            <v>2677</v>
          </cell>
        </row>
        <row r="231">
          <cell r="D231" t="str">
            <v>대림정보문화도서관</v>
          </cell>
          <cell r="E231">
            <v>3068</v>
          </cell>
        </row>
        <row r="232">
          <cell r="D232" t="str">
            <v>영등포 제1스포츠센터</v>
          </cell>
          <cell r="E232">
            <v>2516</v>
          </cell>
        </row>
        <row r="233">
          <cell r="D233" t="str">
            <v>그린케어센터</v>
          </cell>
          <cell r="E233">
            <v>3405</v>
          </cell>
        </row>
        <row r="234">
          <cell r="D234" t="str">
            <v>영등포청소년상담복지센터</v>
          </cell>
          <cell r="E234">
            <v>635</v>
          </cell>
        </row>
        <row r="235">
          <cell r="D235" t="str">
            <v>신길6동복지관</v>
          </cell>
          <cell r="E235">
            <v>1484</v>
          </cell>
        </row>
        <row r="236">
          <cell r="D236" t="str">
            <v>숙대 명재관 인근</v>
          </cell>
          <cell r="E236">
            <v>1805</v>
          </cell>
        </row>
        <row r="237">
          <cell r="D237" t="str">
            <v>용산치안센터(2가동주민센터)</v>
          </cell>
          <cell r="E237">
            <v>2209</v>
          </cell>
        </row>
        <row r="238">
          <cell r="D238" t="str">
            <v>효창동주민센터</v>
          </cell>
          <cell r="E238">
            <v>1660</v>
          </cell>
        </row>
        <row r="239">
          <cell r="D239" t="str">
            <v>한남동공영주차장</v>
          </cell>
          <cell r="E239">
            <v>1330</v>
          </cell>
        </row>
        <row r="240">
          <cell r="D240" t="str">
            <v>용산구청후문</v>
          </cell>
          <cell r="E240">
            <v>3615</v>
          </cell>
        </row>
        <row r="241">
          <cell r="D241" t="str">
            <v>갈월종합사회복지관</v>
          </cell>
          <cell r="E241">
            <v>4250</v>
          </cell>
        </row>
        <row r="242">
          <cell r="D242" t="str">
            <v>용산꿈나무종합타운</v>
          </cell>
          <cell r="E242">
            <v>1704</v>
          </cell>
        </row>
        <row r="243">
          <cell r="D243" t="str">
            <v>보광동주민센터</v>
          </cell>
          <cell r="E243">
            <v>1150</v>
          </cell>
        </row>
        <row r="244">
          <cell r="D244" t="str">
            <v>효창종합사회복지관</v>
          </cell>
          <cell r="E244">
            <v>12</v>
          </cell>
        </row>
        <row r="245">
          <cell r="D245" t="str">
            <v>갈현청소년센터쉼쉼</v>
          </cell>
          <cell r="E245">
            <v>259</v>
          </cell>
        </row>
        <row r="246">
          <cell r="D246" t="str">
            <v>시립은평청소년센터</v>
          </cell>
          <cell r="E246">
            <v>9</v>
          </cell>
        </row>
        <row r="247">
          <cell r="D247" t="str">
            <v>연신내 지구대</v>
          </cell>
          <cell r="E247">
            <v>2192</v>
          </cell>
        </row>
        <row r="248">
          <cell r="D248" t="str">
            <v>불광보건소</v>
          </cell>
          <cell r="E248">
            <v>1144</v>
          </cell>
        </row>
        <row r="249">
          <cell r="D249" t="str">
            <v>구산동주민센터</v>
          </cell>
          <cell r="E249">
            <v>2453</v>
          </cell>
        </row>
        <row r="250">
          <cell r="D250" t="str">
            <v>신사종합사회복지관</v>
          </cell>
          <cell r="E250">
            <v>3983</v>
          </cell>
        </row>
        <row r="251">
          <cell r="D251" t="str">
            <v>불광1동 치안센터</v>
          </cell>
          <cell r="E251">
            <v>4265</v>
          </cell>
        </row>
        <row r="252">
          <cell r="D252" t="str">
            <v>청년취업사관학교 은평캠퍼스(녹번 119안전센터)</v>
          </cell>
          <cell r="E252">
            <v>3426</v>
          </cell>
        </row>
        <row r="253">
          <cell r="D253" t="str">
            <v>증산 정보도서관</v>
          </cell>
          <cell r="E253">
            <v>6472</v>
          </cell>
        </row>
        <row r="254">
          <cell r="D254" t="str">
            <v>갈현1동 주민센터</v>
          </cell>
          <cell r="E254">
            <v>3642</v>
          </cell>
        </row>
        <row r="255">
          <cell r="D255" t="str">
            <v>역촌동 주민센터</v>
          </cell>
          <cell r="E255">
            <v>3854</v>
          </cell>
        </row>
        <row r="256">
          <cell r="D256" t="str">
            <v>아인스하임</v>
          </cell>
          <cell r="E256">
            <v>134</v>
          </cell>
        </row>
        <row r="257">
          <cell r="D257" t="str">
            <v>청운효자동 자치회관</v>
          </cell>
          <cell r="E257">
            <v>2219</v>
          </cell>
        </row>
        <row r="258">
          <cell r="D258" t="str">
            <v>종로육아종합지원센터</v>
          </cell>
          <cell r="E258">
            <v>2637</v>
          </cell>
        </row>
        <row r="259">
          <cell r="D259" t="str">
            <v>숭인1동 주민센터</v>
          </cell>
          <cell r="E259">
            <v>2438</v>
          </cell>
        </row>
        <row r="260">
          <cell r="D260" t="str">
            <v>종로구민회관</v>
          </cell>
          <cell r="E260">
            <v>777</v>
          </cell>
        </row>
        <row r="261">
          <cell r="D261" t="str">
            <v>숭인제2동주민센터</v>
          </cell>
          <cell r="E261">
            <v>406</v>
          </cell>
        </row>
        <row r="262">
          <cell r="D262" t="str">
            <v>충현 공영주차장</v>
          </cell>
          <cell r="E262">
            <v>151</v>
          </cell>
        </row>
        <row r="263">
          <cell r="D263" t="str">
            <v>약수동공영주차장</v>
          </cell>
          <cell r="E263">
            <v>1203</v>
          </cell>
        </row>
        <row r="264">
          <cell r="D264" t="str">
            <v>버티 공영주차장</v>
          </cell>
          <cell r="E264">
            <v>2291</v>
          </cell>
        </row>
        <row r="265">
          <cell r="D265" t="str">
            <v>명동주민센터</v>
          </cell>
          <cell r="E265">
            <v>2494</v>
          </cell>
        </row>
        <row r="266">
          <cell r="D266" t="str">
            <v>장충체육관 후문</v>
          </cell>
          <cell r="E266">
            <v>1552</v>
          </cell>
        </row>
        <row r="267">
          <cell r="D267" t="str">
            <v>약수교회 식당입구</v>
          </cell>
          <cell r="E267">
            <v>1270</v>
          </cell>
        </row>
        <row r="268">
          <cell r="D268" t="str">
            <v>장충공영주차장</v>
          </cell>
          <cell r="E268">
            <v>271</v>
          </cell>
        </row>
        <row r="269">
          <cell r="D269" t="str">
            <v>다산동공영주차장</v>
          </cell>
          <cell r="E269">
            <v>21</v>
          </cell>
        </row>
        <row r="270">
          <cell r="D270" t="str">
            <v>상봉2동주민센터</v>
          </cell>
          <cell r="E270">
            <v>1086</v>
          </cell>
        </row>
        <row r="271">
          <cell r="D271" t="str">
            <v>면목4동주민센터</v>
          </cell>
          <cell r="E271">
            <v>2029</v>
          </cell>
        </row>
        <row r="272">
          <cell r="D272" t="str">
            <v>면목5동 주민센터</v>
          </cell>
          <cell r="E272">
            <v>2894</v>
          </cell>
        </row>
        <row r="273">
          <cell r="D273" t="str">
            <v>면목본동 주민센터</v>
          </cell>
          <cell r="E273">
            <v>6411</v>
          </cell>
        </row>
        <row r="274">
          <cell r="D274" t="str">
            <v>면목4동 작은도서관</v>
          </cell>
          <cell r="E274">
            <v>101</v>
          </cell>
        </row>
        <row r="275">
          <cell r="D275" t="str">
            <v>중화1치안센터</v>
          </cell>
          <cell r="E275">
            <v>645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(23년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C5" t="str">
            <v>논현1동주민센터</v>
          </cell>
          <cell r="D5">
            <v>2550</v>
          </cell>
        </row>
        <row r="6">
          <cell r="C6" t="str">
            <v>대치4동 주민센터</v>
          </cell>
          <cell r="D6">
            <v>10670</v>
          </cell>
        </row>
        <row r="7">
          <cell r="C7" t="str">
            <v>도곡2동주민센터</v>
          </cell>
          <cell r="D7">
            <v>5163</v>
          </cell>
        </row>
        <row r="8">
          <cell r="C8" t="str">
            <v>일원1동주민센터</v>
          </cell>
          <cell r="D8">
            <v>2264</v>
          </cell>
        </row>
        <row r="9">
          <cell r="C9" t="str">
            <v>현대오일뱅크_현대주유소</v>
          </cell>
          <cell r="D9">
            <v>758</v>
          </cell>
        </row>
        <row r="10">
          <cell r="C10" t="str">
            <v>역삼청소년수련관</v>
          </cell>
          <cell r="D10">
            <v>942</v>
          </cell>
        </row>
        <row r="11">
          <cell r="C11" t="str">
            <v>대치2동 주민센터</v>
          </cell>
          <cell r="D11">
            <v>2593</v>
          </cell>
        </row>
        <row r="12">
          <cell r="C12" t="str">
            <v>도곡1동 주민센터</v>
          </cell>
          <cell r="D12">
            <v>3516</v>
          </cell>
        </row>
        <row r="13">
          <cell r="C13" t="str">
            <v>역삼1동 주민센터</v>
          </cell>
          <cell r="D13">
            <v>1516</v>
          </cell>
        </row>
        <row r="14">
          <cell r="C14" t="str">
            <v>강동구립해공도서관</v>
          </cell>
          <cell r="D14">
            <v>1183</v>
          </cell>
        </row>
        <row r="15">
          <cell r="C15" t="str">
            <v>강동구 평생학습관(명일동 공영주차장)</v>
          </cell>
          <cell r="D15">
            <v>1244</v>
          </cell>
        </row>
        <row r="16">
          <cell r="C16" t="str">
            <v>강동구립암사도서관</v>
          </cell>
          <cell r="D16">
            <v>2324</v>
          </cell>
        </row>
        <row r="17">
          <cell r="C17" t="str">
            <v>둔촌역전통시장공영주차장</v>
          </cell>
          <cell r="D17">
            <v>902</v>
          </cell>
        </row>
        <row r="18">
          <cell r="C18" t="str">
            <v>2001아울렛천호점</v>
          </cell>
          <cell r="D18">
            <v>2547</v>
          </cell>
        </row>
        <row r="19">
          <cell r="C19" t="str">
            <v>성내1동 주민센터</v>
          </cell>
          <cell r="D19">
            <v>3153</v>
          </cell>
        </row>
        <row r="20">
          <cell r="C20" t="str">
            <v>암사2동 주민센터</v>
          </cell>
          <cell r="D20">
            <v>2637</v>
          </cell>
        </row>
        <row r="21">
          <cell r="C21" t="str">
            <v>강동구민회관</v>
          </cell>
          <cell r="D21">
            <v>4663</v>
          </cell>
        </row>
        <row r="22">
          <cell r="C22" t="str">
            <v>구립안말경로당</v>
          </cell>
          <cell r="D22">
            <v>31</v>
          </cell>
        </row>
        <row r="23">
          <cell r="C23" t="str">
            <v>길동주민센터</v>
          </cell>
          <cell r="D23">
            <v>1547</v>
          </cell>
        </row>
        <row r="24">
          <cell r="C24" t="str">
            <v>천호 청소년 문화의집</v>
          </cell>
          <cell r="D24">
            <v>132</v>
          </cell>
        </row>
        <row r="25">
          <cell r="C25" t="str">
            <v>강북노인종합복지회관</v>
          </cell>
          <cell r="D25">
            <v>668</v>
          </cell>
        </row>
        <row r="26">
          <cell r="C26" t="str">
            <v>솔밭근린공원 개방화장실</v>
          </cell>
          <cell r="D26">
            <v>4153</v>
          </cell>
        </row>
        <row r="27">
          <cell r="C27" t="str">
            <v>강북문화예술회관</v>
          </cell>
          <cell r="D27">
            <v>1213</v>
          </cell>
        </row>
        <row r="28">
          <cell r="C28" t="str">
            <v>번동북부시장 북부마트</v>
          </cell>
          <cell r="D28">
            <v>1358</v>
          </cell>
        </row>
        <row r="29">
          <cell r="C29" t="str">
            <v>수유역1번출구</v>
          </cell>
          <cell r="D29">
            <v>3659</v>
          </cell>
        </row>
        <row r="30">
          <cell r="C30" t="str">
            <v>미아동 복합청사</v>
          </cell>
          <cell r="D30">
            <v>4012</v>
          </cell>
        </row>
        <row r="31">
          <cell r="C31" t="str">
            <v>강북구청 본관 입구</v>
          </cell>
          <cell r="D31">
            <v>2844</v>
          </cell>
        </row>
        <row r="32">
          <cell r="C32" t="str">
            <v>수유1동 주민센터</v>
          </cell>
          <cell r="D32">
            <v>4364</v>
          </cell>
        </row>
        <row r="33">
          <cell r="C33" t="str">
            <v>미아사거리역 1번출구</v>
          </cell>
          <cell r="D33">
            <v>3405</v>
          </cell>
        </row>
        <row r="34">
          <cell r="C34" t="str">
            <v>화곡8동 주민센터</v>
          </cell>
          <cell r="D34">
            <v>2500</v>
          </cell>
        </row>
        <row r="35">
          <cell r="C35" t="str">
            <v>가로공원공영주차장1번출구</v>
          </cell>
          <cell r="D35">
            <v>1730</v>
          </cell>
        </row>
        <row r="36">
          <cell r="C36" t="str">
            <v>화곡 6-1 공영주차장</v>
          </cell>
          <cell r="D36">
            <v>2415</v>
          </cell>
        </row>
        <row r="37">
          <cell r="C37" t="str">
            <v>화곡3-1공영주차장</v>
          </cell>
          <cell r="D37">
            <v>2263</v>
          </cell>
        </row>
        <row r="38">
          <cell r="C38" t="str">
            <v>화곡 1-1 공영주차장</v>
          </cell>
          <cell r="D38">
            <v>1181</v>
          </cell>
        </row>
        <row r="39">
          <cell r="C39" t="str">
            <v>내발산동 문화센터</v>
          </cell>
          <cell r="D39">
            <v>3313</v>
          </cell>
        </row>
        <row r="40">
          <cell r="C40" t="str">
            <v>곰달래복지문화센터</v>
          </cell>
          <cell r="D40">
            <v>2325</v>
          </cell>
        </row>
        <row r="41">
          <cell r="C41" t="str">
            <v>화곡4동 주민센터</v>
          </cell>
          <cell r="D41">
            <v>3521</v>
          </cell>
        </row>
        <row r="42">
          <cell r="C42" t="str">
            <v>볏골공원공영주차장</v>
          </cell>
          <cell r="D42">
            <v>3665</v>
          </cell>
        </row>
        <row r="43">
          <cell r="C43" t="str">
            <v>공항동 주민센터</v>
          </cell>
          <cell r="D43">
            <v>1992</v>
          </cell>
        </row>
        <row r="44">
          <cell r="C44" t="str">
            <v>발산1동주민센터</v>
          </cell>
          <cell r="D44">
            <v>2186</v>
          </cell>
        </row>
        <row r="45">
          <cell r="C45" t="str">
            <v>화곡2동주민센터</v>
          </cell>
          <cell r="D45">
            <v>612</v>
          </cell>
        </row>
        <row r="46">
          <cell r="C46" t="str">
            <v>길꽃어린이도서관</v>
          </cell>
          <cell r="D46">
            <v>822</v>
          </cell>
        </row>
        <row r="47">
          <cell r="C47" t="str">
            <v>신방화역환승주차장</v>
          </cell>
          <cell r="D47">
            <v>1681</v>
          </cell>
        </row>
        <row r="48">
          <cell r="C48" t="str">
            <v>서원동주민센터</v>
          </cell>
          <cell r="D48">
            <v>2787</v>
          </cell>
        </row>
        <row r="49">
          <cell r="C49" t="str">
            <v>관악청소년회관</v>
          </cell>
          <cell r="D49">
            <v>3246</v>
          </cell>
        </row>
        <row r="50">
          <cell r="C50" t="str">
            <v>인헌동주민센터</v>
          </cell>
          <cell r="D50">
            <v>3732</v>
          </cell>
        </row>
        <row r="51">
          <cell r="C51" t="str">
            <v>대학동치안센터</v>
          </cell>
          <cell r="D51">
            <v>3265</v>
          </cell>
        </row>
        <row r="52">
          <cell r="C52" t="str">
            <v>남현동 주민센터</v>
          </cell>
          <cell r="D52">
            <v>2014</v>
          </cell>
        </row>
        <row r="53">
          <cell r="C53" t="str">
            <v>청룡동 주민센터</v>
          </cell>
          <cell r="D53">
            <v>1648</v>
          </cell>
        </row>
        <row r="54">
          <cell r="C54" t="str">
            <v>조원동주민센터</v>
          </cell>
          <cell r="D54">
            <v>2009</v>
          </cell>
        </row>
        <row r="55">
          <cell r="C55" t="str">
            <v>신사동자치회관</v>
          </cell>
          <cell r="D55">
            <v>2774</v>
          </cell>
        </row>
        <row r="56">
          <cell r="C56" t="str">
            <v>행운동주민센터</v>
          </cell>
          <cell r="D56">
            <v>4639</v>
          </cell>
        </row>
        <row r="57">
          <cell r="C57" t="str">
            <v>관악구청</v>
          </cell>
          <cell r="D57">
            <v>3321</v>
          </cell>
        </row>
        <row r="58">
          <cell r="C58" t="str">
            <v>신림여성회관</v>
          </cell>
          <cell r="D58">
            <v>664</v>
          </cell>
        </row>
        <row r="59">
          <cell r="C59" t="str">
            <v>현대오일뱅크_관악셀프주유소</v>
          </cell>
          <cell r="D59">
            <v>436</v>
          </cell>
        </row>
        <row r="60">
          <cell r="C60" t="str">
            <v>미성체육관</v>
          </cell>
          <cell r="D60">
            <v>851</v>
          </cell>
        </row>
        <row r="61">
          <cell r="C61" t="str">
            <v>신한은행 (구)봉천서 지점</v>
          </cell>
          <cell r="D61">
            <v>1368</v>
          </cell>
        </row>
        <row r="62">
          <cell r="C62" t="str">
            <v>신한은행 신림대학동 지점</v>
          </cell>
          <cell r="D62">
            <v>388</v>
          </cell>
        </row>
        <row r="63">
          <cell r="C63" t="str">
            <v>신한은행_신림역</v>
          </cell>
          <cell r="D63">
            <v>565</v>
          </cell>
        </row>
        <row r="64">
          <cell r="C64" t="str">
            <v>구의1동공영주차장</v>
          </cell>
          <cell r="D64">
            <v>2047</v>
          </cell>
        </row>
        <row r="65">
          <cell r="C65" t="str">
            <v>중곡감리교회</v>
          </cell>
          <cell r="D65">
            <v>525</v>
          </cell>
        </row>
        <row r="66">
          <cell r="C66" t="str">
            <v>구의2동주택가 공동주차장</v>
          </cell>
          <cell r="D66">
            <v>2089</v>
          </cell>
        </row>
        <row r="67">
          <cell r="C67" t="str">
            <v>자양종합사회복지관</v>
          </cell>
          <cell r="D67">
            <v>3103</v>
          </cell>
        </row>
        <row r="68">
          <cell r="C68" t="str">
            <v>중곡문화체육센터</v>
          </cell>
          <cell r="D68">
            <v>2421</v>
          </cell>
        </row>
        <row r="69">
          <cell r="C69" t="str">
            <v>중곡종합건강센터</v>
          </cell>
          <cell r="D69">
            <v>2400</v>
          </cell>
        </row>
        <row r="70">
          <cell r="C70" t="str">
            <v>화양동주민센터</v>
          </cell>
          <cell r="D70">
            <v>2062</v>
          </cell>
        </row>
        <row r="71">
          <cell r="C71" t="str">
            <v>자양4동 주민센터</v>
          </cell>
          <cell r="D71">
            <v>2569</v>
          </cell>
        </row>
        <row r="72">
          <cell r="C72" t="str">
            <v>동부여성발전센터</v>
          </cell>
          <cell r="D72">
            <v>2759</v>
          </cell>
        </row>
        <row r="73">
          <cell r="C73" t="str">
            <v>중곡1동주민센터</v>
          </cell>
          <cell r="D73">
            <v>1697</v>
          </cell>
        </row>
        <row r="74">
          <cell r="C74" t="str">
            <v>광진경찰서</v>
          </cell>
          <cell r="D74">
            <v>1631</v>
          </cell>
        </row>
        <row r="75">
          <cell r="C75" t="str">
            <v>자양2동주민센터</v>
          </cell>
          <cell r="D75">
            <v>442</v>
          </cell>
        </row>
        <row r="76">
          <cell r="C76" t="str">
            <v>자양문화체육센터</v>
          </cell>
          <cell r="D76">
            <v>1011</v>
          </cell>
        </row>
        <row r="77">
          <cell r="C77" t="str">
            <v>군자동주민센터</v>
          </cell>
          <cell r="D77">
            <v>375</v>
          </cell>
        </row>
        <row r="78">
          <cell r="C78" t="str">
            <v>구로구 시설관리공단</v>
          </cell>
          <cell r="D78">
            <v>1119</v>
          </cell>
        </row>
        <row r="79">
          <cell r="C79" t="str">
            <v>서울교통공사대림별관</v>
          </cell>
          <cell r="D79">
            <v>1625</v>
          </cell>
        </row>
        <row r="80">
          <cell r="C80" t="str">
            <v>온수동_공용이용시설</v>
          </cell>
          <cell r="D80">
            <v>924</v>
          </cell>
        </row>
        <row r="81">
          <cell r="C81" t="str">
            <v>구로역1번출구 NC백화점</v>
          </cell>
          <cell r="D81">
            <v>1880</v>
          </cell>
        </row>
        <row r="82">
          <cell r="C82" t="str">
            <v>구로구민회관</v>
          </cell>
          <cell r="D82">
            <v>1317</v>
          </cell>
        </row>
        <row r="83">
          <cell r="C83" t="str">
            <v>구로2동주민센터앞</v>
          </cell>
          <cell r="D83">
            <v>1980</v>
          </cell>
        </row>
        <row r="84">
          <cell r="C84" t="str">
            <v>오류1동텃골공영주차장</v>
          </cell>
          <cell r="D84">
            <v>2730</v>
          </cell>
        </row>
        <row r="85">
          <cell r="C85" t="str">
            <v>가리봉동주민센터</v>
          </cell>
          <cell r="D85">
            <v>246</v>
          </cell>
        </row>
        <row r="86">
          <cell r="C86" t="str">
            <v>(임시철거)구로구민 체육센터</v>
          </cell>
          <cell r="D86">
            <v>0</v>
          </cell>
        </row>
        <row r="87">
          <cell r="C87" t="str">
            <v>(임시철거)금빛휘트니스센터</v>
          </cell>
          <cell r="D87">
            <v>1448</v>
          </cell>
        </row>
        <row r="88">
          <cell r="C88" t="str">
            <v>청춘삘딩</v>
          </cell>
          <cell r="D88">
            <v>254</v>
          </cell>
        </row>
        <row r="89">
          <cell r="C89" t="str">
            <v>신한은행_금천점</v>
          </cell>
          <cell r="D89">
            <v>164</v>
          </cell>
        </row>
        <row r="90">
          <cell r="C90" t="str">
            <v>시흥4동 주민센터</v>
          </cell>
          <cell r="D90">
            <v>3831</v>
          </cell>
        </row>
        <row r="91">
          <cell r="C91" t="str">
            <v>금천호암노인복지관</v>
          </cell>
          <cell r="D91">
            <v>509</v>
          </cell>
        </row>
        <row r="92">
          <cell r="C92" t="str">
            <v>신한은행_디지털라운지</v>
          </cell>
          <cell r="D92">
            <v>165</v>
          </cell>
        </row>
        <row r="93">
          <cell r="C93" t="str">
            <v>시흥3동 주민센터</v>
          </cell>
          <cell r="D93">
            <v>1821</v>
          </cell>
        </row>
        <row r="94">
          <cell r="C94" t="str">
            <v>독산1동주민센터</v>
          </cell>
          <cell r="D94">
            <v>2747</v>
          </cell>
        </row>
        <row r="95">
          <cell r="C95" t="str">
            <v>금천구청</v>
          </cell>
          <cell r="D95">
            <v>2026</v>
          </cell>
        </row>
        <row r="96">
          <cell r="C96" t="str">
            <v>독산2동주민센터</v>
          </cell>
          <cell r="D96">
            <v>1090</v>
          </cell>
        </row>
        <row r="97">
          <cell r="C97" t="str">
            <v>상계2동주민센터</v>
          </cell>
          <cell r="D97">
            <v>3746</v>
          </cell>
        </row>
        <row r="98">
          <cell r="C98" t="str">
            <v>(임시철거)월계문화정보도서관</v>
          </cell>
          <cell r="D98">
            <v>817</v>
          </cell>
        </row>
        <row r="99">
          <cell r="C99" t="str">
            <v>상계3,4동 주민센터</v>
          </cell>
          <cell r="D99">
            <v>1043</v>
          </cell>
        </row>
        <row r="100">
          <cell r="C100" t="str">
            <v>상계역 자전거대여소</v>
          </cell>
          <cell r="D100">
            <v>6960</v>
          </cell>
        </row>
        <row r="101">
          <cell r="C101" t="str">
            <v>공릉 청소년문화정보센터</v>
          </cell>
          <cell r="D101">
            <v>3293</v>
          </cell>
        </row>
        <row r="102">
          <cell r="C102" t="str">
            <v>공릉1동 주민센터(노원)</v>
          </cell>
          <cell r="D102">
            <v>3587</v>
          </cell>
        </row>
        <row r="103">
          <cell r="C103" t="str">
            <v>월계치안센터</v>
          </cell>
          <cell r="D103">
            <v>2557</v>
          </cell>
        </row>
        <row r="104">
          <cell r="C104" t="str">
            <v>공릉종합사회복지관</v>
          </cell>
          <cell r="D104">
            <v>700</v>
          </cell>
        </row>
        <row r="105">
          <cell r="C105" t="str">
            <v>상계문화정보도서관</v>
          </cell>
          <cell r="D105">
            <v>1247</v>
          </cell>
        </row>
        <row r="106">
          <cell r="C106" t="str">
            <v>창동역1번출구</v>
          </cell>
          <cell r="D106">
            <v>5328</v>
          </cell>
        </row>
        <row r="107">
          <cell r="C107" t="str">
            <v>도봉구민회관</v>
          </cell>
          <cell r="D107">
            <v>3983</v>
          </cell>
        </row>
        <row r="108">
          <cell r="C108" t="str">
            <v>창동 도봉육아종합지원센터</v>
          </cell>
          <cell r="D108">
            <v>856</v>
          </cell>
        </row>
        <row r="109">
          <cell r="C109" t="str">
            <v>도봉서원종합사회복지관</v>
          </cell>
          <cell r="D109">
            <v>2122</v>
          </cell>
        </row>
        <row r="110">
          <cell r="C110" t="str">
            <v>(임시철거)창1동제1공영주차장</v>
          </cell>
          <cell r="D110">
            <v>0</v>
          </cell>
        </row>
        <row r="111">
          <cell r="C111" t="str">
            <v>방아골종합사회복지관</v>
          </cell>
          <cell r="D111">
            <v>1856</v>
          </cell>
        </row>
        <row r="112">
          <cell r="C112" t="str">
            <v>도봉1동주민센터</v>
          </cell>
          <cell r="D112">
            <v>2525</v>
          </cell>
        </row>
        <row r="113">
          <cell r="C113" t="str">
            <v>창2동 신창교회</v>
          </cell>
          <cell r="D113">
            <v>1696</v>
          </cell>
        </row>
        <row r="114">
          <cell r="C114" t="str">
            <v>염광교회</v>
          </cell>
          <cell r="D114">
            <v>2468</v>
          </cell>
        </row>
        <row r="115">
          <cell r="C115" t="str">
            <v>창3동 주민센터</v>
          </cell>
          <cell r="D115">
            <v>1521</v>
          </cell>
        </row>
        <row r="116">
          <cell r="C116" t="str">
            <v>이문체육문화센터</v>
          </cell>
          <cell r="D116">
            <v>337</v>
          </cell>
        </row>
        <row r="117">
          <cell r="C117" t="str">
            <v>나사렛교회</v>
          </cell>
          <cell r="D117">
            <v>3006</v>
          </cell>
        </row>
        <row r="118">
          <cell r="C118" t="str">
            <v>장안2동 공영주차장</v>
          </cell>
          <cell r="D118">
            <v>2703</v>
          </cell>
        </row>
        <row r="119">
          <cell r="C119" t="str">
            <v>동대문구청 종합민원실</v>
          </cell>
          <cell r="D119">
            <v>3092</v>
          </cell>
        </row>
        <row r="120">
          <cell r="C120" t="str">
            <v>회기동공영주차장</v>
          </cell>
          <cell r="D120">
            <v>1328</v>
          </cell>
        </row>
        <row r="121">
          <cell r="C121" t="str">
            <v>답십리도서관</v>
          </cell>
          <cell r="D121">
            <v>3407</v>
          </cell>
        </row>
        <row r="122">
          <cell r="C122" t="str">
            <v>정보화도서관</v>
          </cell>
          <cell r="D122">
            <v>1995</v>
          </cell>
        </row>
        <row r="123">
          <cell r="C123" t="str">
            <v>장안종합사회복지관</v>
          </cell>
          <cell r="D123">
            <v>2778</v>
          </cell>
        </row>
        <row r="124">
          <cell r="C124" t="str">
            <v>답십리2청소년독서실</v>
          </cell>
          <cell r="D124">
            <v>252</v>
          </cell>
        </row>
        <row r="125">
          <cell r="C125" t="str">
            <v>휘경동공영주차장</v>
          </cell>
          <cell r="D125">
            <v>821</v>
          </cell>
        </row>
        <row r="126">
          <cell r="C126" t="str">
            <v>신한은행 외대역 지점</v>
          </cell>
          <cell r="D126">
            <v>1886</v>
          </cell>
        </row>
        <row r="127">
          <cell r="C127" t="str">
            <v>고대앞마을 주민사랑방</v>
          </cell>
          <cell r="D127">
            <v>428</v>
          </cell>
        </row>
        <row r="128">
          <cell r="C128" t="str">
            <v>순만빌딩</v>
          </cell>
          <cell r="D128">
            <v>2435</v>
          </cell>
        </row>
        <row r="129">
          <cell r="C129" t="str">
            <v>사당문화회관</v>
          </cell>
          <cell r="D129">
            <v>1920</v>
          </cell>
        </row>
        <row r="130">
          <cell r="C130" t="str">
            <v>상도1동주민센터</v>
          </cell>
          <cell r="D130">
            <v>2561</v>
          </cell>
        </row>
        <row r="131">
          <cell r="C131" t="str">
            <v>예그리나주택</v>
          </cell>
          <cell r="D131">
            <v>786</v>
          </cell>
        </row>
        <row r="132">
          <cell r="C132" t="str">
            <v>강남교회 교육관</v>
          </cell>
          <cell r="D132">
            <v>1734</v>
          </cell>
        </row>
        <row r="133">
          <cell r="C133" t="str">
            <v xml:space="preserve">동작 청소년문화의 집 </v>
          </cell>
          <cell r="D133">
            <v>1312</v>
          </cell>
        </row>
        <row r="134">
          <cell r="C134" t="str">
            <v>kb국민은행 동작구청지점</v>
          </cell>
          <cell r="D134">
            <v>6990</v>
          </cell>
        </row>
        <row r="135">
          <cell r="C135" t="str">
            <v>사당노인종합복지관</v>
          </cell>
          <cell r="D135">
            <v>1891</v>
          </cell>
        </row>
        <row r="136">
          <cell r="C136" t="str">
            <v>스페이스살림</v>
          </cell>
          <cell r="D136">
            <v>1298</v>
          </cell>
        </row>
        <row r="137">
          <cell r="C137" t="str">
            <v>상도3동 주민센터</v>
          </cell>
          <cell r="D137">
            <v>4623</v>
          </cell>
        </row>
        <row r="138">
          <cell r="C138" t="str">
            <v>신대방해피점</v>
          </cell>
          <cell r="D138">
            <v>911</v>
          </cell>
        </row>
        <row r="139">
          <cell r="C139" t="str">
            <v>현대오일뱅크_사당셀프주유소</v>
          </cell>
          <cell r="D139">
            <v>1954</v>
          </cell>
        </row>
        <row r="140">
          <cell r="C140" t="str">
            <v>신한은행 숭실대역 지점</v>
          </cell>
          <cell r="D140">
            <v>1100</v>
          </cell>
        </row>
        <row r="141">
          <cell r="C141" t="str">
            <v>사당종합체육관</v>
          </cell>
          <cell r="D141">
            <v>237</v>
          </cell>
        </row>
        <row r="142">
          <cell r="C142" t="str">
            <v>동교치안센터</v>
          </cell>
          <cell r="D142">
            <v>975</v>
          </cell>
        </row>
        <row r="143">
          <cell r="C143" t="str">
            <v>서현교회</v>
          </cell>
          <cell r="D143">
            <v>3212</v>
          </cell>
        </row>
        <row r="144">
          <cell r="C144" t="str">
            <v>서강동주민센터</v>
          </cell>
          <cell r="D144">
            <v>871</v>
          </cell>
        </row>
        <row r="145">
          <cell r="C145" t="str">
            <v>성산1동주민센터</v>
          </cell>
          <cell r="D145">
            <v>533</v>
          </cell>
        </row>
        <row r="146">
          <cell r="C146" t="str">
            <v>망원2동 치안센터</v>
          </cell>
          <cell r="D146">
            <v>1194</v>
          </cell>
        </row>
        <row r="147">
          <cell r="C147" t="str">
            <v>신수동주민센터</v>
          </cell>
          <cell r="D147">
            <v>1939</v>
          </cell>
        </row>
        <row r="148">
          <cell r="C148" t="str">
            <v>성산2동주민센터</v>
          </cell>
          <cell r="D148">
            <v>1636</v>
          </cell>
        </row>
        <row r="149">
          <cell r="C149" t="str">
            <v>연남동희망원룸주택</v>
          </cell>
          <cell r="D149">
            <v>1433</v>
          </cell>
        </row>
        <row r="150">
          <cell r="C150" t="str">
            <v>상암동 제1공영주차장</v>
          </cell>
          <cell r="D150">
            <v>4044</v>
          </cell>
        </row>
        <row r="151">
          <cell r="C151" t="str">
            <v>마포아트센터</v>
          </cell>
          <cell r="D151">
            <v>3348</v>
          </cell>
        </row>
        <row r="152">
          <cell r="C152" t="str">
            <v>대흥동주민센터</v>
          </cell>
          <cell r="D152">
            <v>2989</v>
          </cell>
        </row>
        <row r="153">
          <cell r="C153" t="str">
            <v>연남동 주민커뮤니티센터</v>
          </cell>
          <cell r="D153">
            <v>3604</v>
          </cell>
        </row>
        <row r="154">
          <cell r="C154" t="str">
            <v>도화동 주민센터</v>
          </cell>
          <cell r="D154">
            <v>3904</v>
          </cell>
        </row>
        <row r="155">
          <cell r="C155" t="str">
            <v>서교동교회</v>
          </cell>
          <cell r="D155">
            <v>666</v>
          </cell>
        </row>
        <row r="156">
          <cell r="C156" t="str">
            <v>상암동주민센터후문</v>
          </cell>
          <cell r="D156">
            <v>172</v>
          </cell>
        </row>
        <row r="157">
          <cell r="C157" t="str">
            <v>홍제3동 주민센터</v>
          </cell>
          <cell r="D157">
            <v>1441</v>
          </cell>
        </row>
        <row r="158">
          <cell r="C158" t="str">
            <v>홍은2동 주민센터</v>
          </cell>
          <cell r="D158">
            <v>1323</v>
          </cell>
        </row>
        <row r="159">
          <cell r="C159" t="str">
            <v>연희동주민센터</v>
          </cell>
          <cell r="D159">
            <v>1278</v>
          </cell>
        </row>
        <row r="160">
          <cell r="C160" t="str">
            <v>홍은1동주민센터</v>
          </cell>
          <cell r="D160">
            <v>1636</v>
          </cell>
        </row>
        <row r="161">
          <cell r="C161" t="str">
            <v>신한은행_연희동점</v>
          </cell>
          <cell r="D161">
            <v>434</v>
          </cell>
        </row>
        <row r="162">
          <cell r="C162" t="str">
            <v>서부제일교회 어린이도서관</v>
          </cell>
          <cell r="D162">
            <v>374</v>
          </cell>
        </row>
        <row r="163">
          <cell r="C163" t="str">
            <v>봉원교회 북카페 옆</v>
          </cell>
          <cell r="D163">
            <v>569</v>
          </cell>
        </row>
        <row r="164">
          <cell r="C164" t="str">
            <v>북아현동 주민센터</v>
          </cell>
          <cell r="D164">
            <v>4343</v>
          </cell>
        </row>
        <row r="165">
          <cell r="C165" t="str">
            <v>충현동주민센터</v>
          </cell>
          <cell r="D165">
            <v>867</v>
          </cell>
        </row>
        <row r="166">
          <cell r="C166" t="str">
            <v>청년누리</v>
          </cell>
          <cell r="D166">
            <v>1698</v>
          </cell>
        </row>
        <row r="167">
          <cell r="C167" t="str">
            <v>신한은행 명지대 지점</v>
          </cell>
          <cell r="D167">
            <v>1761</v>
          </cell>
        </row>
        <row r="168">
          <cell r="C168" t="str">
            <v>남가좌2동 제2공영주차장</v>
          </cell>
          <cell r="D168">
            <v>492</v>
          </cell>
        </row>
        <row r="169">
          <cell r="C169" t="str">
            <v>신한은행_남가좌동점</v>
          </cell>
          <cell r="D169">
            <v>639</v>
          </cell>
        </row>
        <row r="170">
          <cell r="C170" t="str">
            <v>양재2동주민센터</v>
          </cell>
          <cell r="D170">
            <v>3183</v>
          </cell>
        </row>
        <row r="171">
          <cell r="C171" t="str">
            <v>언구비 공영주차장</v>
          </cell>
          <cell r="D171">
            <v>2911</v>
          </cell>
        </row>
        <row r="172">
          <cell r="C172" t="str">
            <v>방배열린문화센터</v>
          </cell>
          <cell r="D172">
            <v>3543</v>
          </cell>
        </row>
        <row r="173">
          <cell r="C173" t="str">
            <v>방배2동 주민센터</v>
          </cell>
          <cell r="D173">
            <v>1696</v>
          </cell>
        </row>
        <row r="174">
          <cell r="C174" t="str">
            <v>서초꿈나무라이온스 보금자리</v>
          </cell>
          <cell r="D174">
            <v>1427</v>
          </cell>
        </row>
        <row r="175">
          <cell r="C175" t="str">
            <v>양재1동 반딧불센터</v>
          </cell>
          <cell r="D175">
            <v>80</v>
          </cell>
        </row>
        <row r="176">
          <cell r="C176" t="str">
            <v>양재1동민원분소</v>
          </cell>
          <cell r="D176">
            <v>1344</v>
          </cell>
        </row>
        <row r="177">
          <cell r="C177" t="str">
            <v>성동구민종합체육센터</v>
          </cell>
          <cell r="D177">
            <v>2115</v>
          </cell>
        </row>
        <row r="178">
          <cell r="C178" t="str">
            <v>성동구립도서관</v>
          </cell>
          <cell r="D178">
            <v>6037</v>
          </cell>
        </row>
        <row r="179">
          <cell r="C179" t="str">
            <v>왕십리2동주민센터</v>
          </cell>
          <cell r="D179">
            <v>1220</v>
          </cell>
        </row>
        <row r="180">
          <cell r="C180" t="str">
            <v>사근동주민센터</v>
          </cell>
          <cell r="D180">
            <v>768</v>
          </cell>
        </row>
        <row r="181">
          <cell r="C181" t="str">
            <v>열린금호교육문화관</v>
          </cell>
          <cell r="D181">
            <v>1031</v>
          </cell>
        </row>
        <row r="182">
          <cell r="C182" t="str">
            <v>하왕십리공영주차장</v>
          </cell>
          <cell r="D182">
            <v>1450</v>
          </cell>
        </row>
        <row r="183">
          <cell r="C183" t="str">
            <v>강변공영주차장</v>
          </cell>
          <cell r="D183">
            <v>502</v>
          </cell>
        </row>
        <row r="184">
          <cell r="C184" t="str">
            <v>성수2가3동 공영주차장</v>
          </cell>
          <cell r="D184">
            <v>808</v>
          </cell>
        </row>
        <row r="185">
          <cell r="C185" t="str">
            <v>용답공영주차장</v>
          </cell>
          <cell r="D185">
            <v>577</v>
          </cell>
        </row>
        <row r="186">
          <cell r="C186" t="str">
            <v>성북희망나눔봉사센터</v>
          </cell>
          <cell r="D186">
            <v>2764</v>
          </cell>
        </row>
        <row r="187">
          <cell r="C187" t="str">
            <v>안암교회</v>
          </cell>
          <cell r="D187">
            <v>1673</v>
          </cell>
        </row>
        <row r="188">
          <cell r="C188" t="str">
            <v>성북정릉감리교회</v>
          </cell>
          <cell r="D188">
            <v>784</v>
          </cell>
        </row>
        <row r="189">
          <cell r="C189" t="str">
            <v>제일빌딩</v>
          </cell>
          <cell r="D189">
            <v>986</v>
          </cell>
        </row>
        <row r="190">
          <cell r="C190" t="str">
            <v>아리랑 시네미디어센터</v>
          </cell>
          <cell r="D190">
            <v>3389</v>
          </cell>
        </row>
        <row r="191">
          <cell r="C191" t="str">
            <v>장위1동 주민센터</v>
          </cell>
          <cell r="D191">
            <v>3909</v>
          </cell>
        </row>
        <row r="192">
          <cell r="C192" t="str">
            <v>석관동주민센터</v>
          </cell>
          <cell r="D192">
            <v>1325</v>
          </cell>
        </row>
        <row r="193">
          <cell r="C193" t="str">
            <v>보문부모아이지원센터</v>
          </cell>
          <cell r="D193">
            <v>580</v>
          </cell>
        </row>
        <row r="194">
          <cell r="C194" t="str">
            <v>삼전지구대</v>
          </cell>
          <cell r="D194">
            <v>1664</v>
          </cell>
        </row>
        <row r="195">
          <cell r="C195" t="str">
            <v>가락2동치안센터</v>
          </cell>
          <cell r="D195">
            <v>750</v>
          </cell>
        </row>
        <row r="196">
          <cell r="C196" t="str">
            <v>장지동 주민센터</v>
          </cell>
          <cell r="D196">
            <v>1711</v>
          </cell>
        </row>
        <row r="197">
          <cell r="C197" t="str">
            <v>거여2동주민센터</v>
          </cell>
          <cell r="D197">
            <v>2112</v>
          </cell>
        </row>
        <row r="198">
          <cell r="C198" t="str">
            <v>마천2동주민센터</v>
          </cell>
          <cell r="D198">
            <v>2480</v>
          </cell>
        </row>
        <row r="199">
          <cell r="C199" t="str">
            <v>석촌동주민센터</v>
          </cell>
          <cell r="D199">
            <v>3411</v>
          </cell>
        </row>
        <row r="200">
          <cell r="C200" t="str">
            <v>송파노인종합복지관</v>
          </cell>
          <cell r="D200">
            <v>2150</v>
          </cell>
        </row>
        <row r="201">
          <cell r="C201" t="str">
            <v>여의도 순복음송파교회</v>
          </cell>
          <cell r="D201">
            <v>3683</v>
          </cell>
        </row>
        <row r="202">
          <cell r="C202" t="str">
            <v>송파여성 문화회관</v>
          </cell>
          <cell r="D202">
            <v>7131</v>
          </cell>
        </row>
        <row r="203">
          <cell r="C203" t="str">
            <v>거여1동주민센터</v>
          </cell>
          <cell r="D203">
            <v>1383</v>
          </cell>
        </row>
        <row r="204">
          <cell r="C204" t="str">
            <v>문정1동 주민센터</v>
          </cell>
          <cell r="D204">
            <v>3017</v>
          </cell>
        </row>
        <row r="205">
          <cell r="C205" t="str">
            <v>양천나눔누리센터</v>
          </cell>
          <cell r="D205">
            <v>4026</v>
          </cell>
        </row>
        <row r="206">
          <cell r="C206" t="str">
            <v>목동실버복지문화센터</v>
          </cell>
          <cell r="D206">
            <v>2662</v>
          </cell>
        </row>
        <row r="207">
          <cell r="C207" t="str">
            <v>신월3동주민센터</v>
          </cell>
          <cell r="D207">
            <v>2287</v>
          </cell>
        </row>
        <row r="208">
          <cell r="C208" t="str">
            <v>신정4동주민센터</v>
          </cell>
          <cell r="D208">
            <v>4127</v>
          </cell>
        </row>
        <row r="209">
          <cell r="C209" t="str">
            <v>목동문화체육센터</v>
          </cell>
          <cell r="D209">
            <v>2349</v>
          </cell>
        </row>
        <row r="210">
          <cell r="C210" t="str">
            <v>신월문화체육센터</v>
          </cell>
          <cell r="D210">
            <v>1416</v>
          </cell>
        </row>
        <row r="211">
          <cell r="C211" t="str">
            <v>신월5동주민센터</v>
          </cell>
          <cell r="D211">
            <v>1528</v>
          </cell>
        </row>
        <row r="212">
          <cell r="C212" t="str">
            <v>신월4동주민센터</v>
          </cell>
          <cell r="D212">
            <v>1704</v>
          </cell>
        </row>
        <row r="213">
          <cell r="C213" t="str">
            <v>목3동 주민센터</v>
          </cell>
          <cell r="D213">
            <v>2494</v>
          </cell>
        </row>
        <row r="214">
          <cell r="C214" t="str">
            <v>목동보건지소</v>
          </cell>
          <cell r="D214">
            <v>1190</v>
          </cell>
        </row>
        <row r="215">
          <cell r="C215" t="str">
            <v>신월1동 청소년독서실</v>
          </cell>
          <cell r="D215">
            <v>235</v>
          </cell>
        </row>
        <row r="216">
          <cell r="C216" t="str">
            <v>영등포 평생학습관</v>
          </cell>
          <cell r="D216">
            <v>1667</v>
          </cell>
        </row>
        <row r="217">
          <cell r="C217" t="str">
            <v>영등포본동주민센터</v>
          </cell>
          <cell r="D217">
            <v>2718</v>
          </cell>
        </row>
        <row r="218">
          <cell r="C218" t="str">
            <v>신길4동1동1마을공영주차장</v>
          </cell>
          <cell r="D218">
            <v>2896</v>
          </cell>
        </row>
        <row r="219">
          <cell r="C219" t="str">
            <v>신길7동 주민센터</v>
          </cell>
          <cell r="D219">
            <v>2476</v>
          </cell>
        </row>
        <row r="220">
          <cell r="C220" t="str">
            <v>도림동 주민센터</v>
          </cell>
          <cell r="D220">
            <v>1974</v>
          </cell>
        </row>
        <row r="221">
          <cell r="C221" t="str">
            <v>다사랑어린이공원(경로당)</v>
          </cell>
          <cell r="D221">
            <v>382</v>
          </cell>
        </row>
        <row r="222">
          <cell r="C222" t="str">
            <v>신길1동 주민센터</v>
          </cell>
          <cell r="D222">
            <v>3257</v>
          </cell>
        </row>
        <row r="223">
          <cell r="C223" t="str">
            <v>대림도서관</v>
          </cell>
          <cell r="D223">
            <v>2112</v>
          </cell>
        </row>
        <row r="224">
          <cell r="C224" t="str">
            <v>영등포 제1스포츠센터</v>
          </cell>
          <cell r="D224">
            <v>2284</v>
          </cell>
        </row>
        <row r="225">
          <cell r="C225" t="str">
            <v>그린케어센터</v>
          </cell>
          <cell r="D225">
            <v>2760</v>
          </cell>
        </row>
        <row r="226">
          <cell r="C226" t="str">
            <v>영등포청소년상담복지센터</v>
          </cell>
          <cell r="D226">
            <v>647</v>
          </cell>
        </row>
        <row r="227">
          <cell r="C227" t="str">
            <v>신길6동복지관</v>
          </cell>
          <cell r="D227">
            <v>1602</v>
          </cell>
        </row>
        <row r="228">
          <cell r="C228" t="str">
            <v>용산치안센터(2가동주민센터)</v>
          </cell>
          <cell r="D228">
            <v>1128</v>
          </cell>
        </row>
        <row r="229">
          <cell r="C229" t="str">
            <v>효창동주민센터</v>
          </cell>
          <cell r="D229">
            <v>848</v>
          </cell>
        </row>
        <row r="230">
          <cell r="C230" t="str">
            <v>한남동공영주차장</v>
          </cell>
          <cell r="D230">
            <v>1053</v>
          </cell>
        </row>
        <row r="231">
          <cell r="C231" t="str">
            <v>용산구청후문</v>
          </cell>
          <cell r="D231">
            <v>3088</v>
          </cell>
        </row>
        <row r="232">
          <cell r="C232" t="str">
            <v>갈월종합사회복지관</v>
          </cell>
          <cell r="D232">
            <v>2944</v>
          </cell>
        </row>
        <row r="233">
          <cell r="C233" t="str">
            <v>용산꿈나무종합타운</v>
          </cell>
          <cell r="D233">
            <v>1781</v>
          </cell>
        </row>
        <row r="234">
          <cell r="C234" t="str">
            <v>보광동주민센터</v>
          </cell>
          <cell r="D234">
            <v>910</v>
          </cell>
        </row>
        <row r="235">
          <cell r="C235" t="str">
            <v>숙대 명재관 인근</v>
          </cell>
          <cell r="D235">
            <v>2033</v>
          </cell>
        </row>
        <row r="236">
          <cell r="C236" t="str">
            <v>갈현청소년센터쉼쉼</v>
          </cell>
          <cell r="D236">
            <v>382</v>
          </cell>
        </row>
        <row r="237">
          <cell r="C237" t="str">
            <v>불광1동 치안센터</v>
          </cell>
          <cell r="D237">
            <v>3872</v>
          </cell>
        </row>
        <row r="238">
          <cell r="C238" t="str">
            <v>녹번 119안전센터</v>
          </cell>
          <cell r="D238">
            <v>3220</v>
          </cell>
        </row>
        <row r="239">
          <cell r="C239" t="str">
            <v>증산 정보도서관</v>
          </cell>
          <cell r="D239">
            <v>6169</v>
          </cell>
        </row>
        <row r="240">
          <cell r="C240" t="str">
            <v>갈현1동 주민센터</v>
          </cell>
          <cell r="D240">
            <v>2216</v>
          </cell>
        </row>
        <row r="241">
          <cell r="C241" t="str">
            <v>역촌동 주민센터</v>
          </cell>
          <cell r="D241">
            <v>3345</v>
          </cell>
        </row>
        <row r="242">
          <cell r="C242" t="str">
            <v>연신내 지구대</v>
          </cell>
          <cell r="D242">
            <v>3005</v>
          </cell>
        </row>
        <row r="243">
          <cell r="C243" t="str">
            <v>불광보건소</v>
          </cell>
          <cell r="D243">
            <v>1201</v>
          </cell>
        </row>
        <row r="244">
          <cell r="C244" t="str">
            <v>구산동주민센터</v>
          </cell>
          <cell r="D244">
            <v>2493</v>
          </cell>
        </row>
        <row r="245">
          <cell r="C245" t="str">
            <v>신사종합사회복지관</v>
          </cell>
          <cell r="D245">
            <v>4139</v>
          </cell>
        </row>
        <row r="246">
          <cell r="C246" t="str">
            <v>청운효자동 자치회관</v>
          </cell>
          <cell r="D246">
            <v>2036</v>
          </cell>
        </row>
        <row r="247">
          <cell r="C247" t="str">
            <v>종로육아종합지원센터</v>
          </cell>
          <cell r="D247">
            <v>2143</v>
          </cell>
        </row>
        <row r="248">
          <cell r="C248" t="str">
            <v>숭인1동 주민센터</v>
          </cell>
          <cell r="D248">
            <v>1858</v>
          </cell>
        </row>
        <row r="249">
          <cell r="C249" t="str">
            <v>종로구민회관</v>
          </cell>
          <cell r="D249">
            <v>806</v>
          </cell>
        </row>
        <row r="250">
          <cell r="C250" t="str">
            <v>숭인제2동주민센터</v>
          </cell>
          <cell r="D250">
            <v>505</v>
          </cell>
        </row>
        <row r="251">
          <cell r="C251" t="str">
            <v>충현 공영주차장</v>
          </cell>
          <cell r="D251">
            <v>264</v>
          </cell>
        </row>
        <row r="252">
          <cell r="C252" t="str">
            <v>약수동공영주차장</v>
          </cell>
          <cell r="D252">
            <v>1118</v>
          </cell>
        </row>
        <row r="253">
          <cell r="C253" t="str">
            <v>버티 공영주차장</v>
          </cell>
          <cell r="D253">
            <v>2217</v>
          </cell>
        </row>
        <row r="254">
          <cell r="C254" t="str">
            <v>명동주민센터</v>
          </cell>
          <cell r="D254">
            <v>2281</v>
          </cell>
        </row>
        <row r="255">
          <cell r="C255" t="str">
            <v>장충체육관 후문</v>
          </cell>
          <cell r="D255">
            <v>1167</v>
          </cell>
        </row>
        <row r="256">
          <cell r="C256" t="str">
            <v>약수교회 식당입구</v>
          </cell>
          <cell r="D256">
            <v>1264</v>
          </cell>
        </row>
        <row r="257">
          <cell r="C257" t="str">
            <v>장충공영주차장</v>
          </cell>
          <cell r="D257">
            <v>227</v>
          </cell>
        </row>
        <row r="258">
          <cell r="C258" t="str">
            <v>충무창업큐브</v>
          </cell>
          <cell r="D258">
            <v>10</v>
          </cell>
        </row>
        <row r="259">
          <cell r="C259" t="str">
            <v>면목4동주민센터</v>
          </cell>
          <cell r="D259">
            <v>2187</v>
          </cell>
        </row>
        <row r="260">
          <cell r="C260" t="str">
            <v>면목5동 주민센터</v>
          </cell>
          <cell r="D260">
            <v>3200</v>
          </cell>
        </row>
        <row r="261">
          <cell r="C261" t="str">
            <v>면목본동 주민센터</v>
          </cell>
          <cell r="D261">
            <v>5778</v>
          </cell>
        </row>
        <row r="262">
          <cell r="C262" t="str">
            <v>상봉2동주민센터</v>
          </cell>
          <cell r="D262">
            <v>1360</v>
          </cell>
        </row>
        <row r="263">
          <cell r="C263" t="str">
            <v>상봉1동주민센터</v>
          </cell>
          <cell r="D263">
            <v>1282</v>
          </cell>
        </row>
        <row r="264">
          <cell r="C264" t="str">
            <v>중화1치안센터</v>
          </cell>
          <cell r="D264">
            <v>1056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(24년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C5" t="str">
            <v>논현1동주민센터</v>
          </cell>
          <cell r="D5">
            <v>2491</v>
          </cell>
        </row>
        <row r="6">
          <cell r="C6" t="str">
            <v>대치4동 주민센터</v>
          </cell>
          <cell r="D6">
            <v>8567</v>
          </cell>
        </row>
        <row r="7">
          <cell r="C7" t="str">
            <v>도곡2동주민센터</v>
          </cell>
          <cell r="D7">
            <v>4867</v>
          </cell>
        </row>
        <row r="8">
          <cell r="C8" t="str">
            <v>(임시철거)일원1동주민센터</v>
          </cell>
          <cell r="D8">
            <v>0</v>
          </cell>
        </row>
        <row r="9">
          <cell r="C9" t="str">
            <v>현대오일뱅크 신사현대점</v>
          </cell>
          <cell r="D9">
            <v>754</v>
          </cell>
        </row>
        <row r="10">
          <cell r="C10" t="str">
            <v>역삼청소년수련관</v>
          </cell>
          <cell r="D10">
            <v>991</v>
          </cell>
        </row>
        <row r="11">
          <cell r="C11" t="str">
            <v>대치2동 주민센터</v>
          </cell>
          <cell r="D11">
            <v>3812</v>
          </cell>
        </row>
        <row r="12">
          <cell r="C12" t="str">
            <v>도곡1동 주민센터</v>
          </cell>
          <cell r="D12">
            <v>1837</v>
          </cell>
        </row>
        <row r="13">
          <cell r="C13" t="str">
            <v>역삼1동 주민센터</v>
          </cell>
          <cell r="D13">
            <v>3016</v>
          </cell>
        </row>
        <row r="14">
          <cell r="C14" t="str">
            <v>강동구립해공도서관</v>
          </cell>
          <cell r="D14">
            <v>1227</v>
          </cell>
        </row>
        <row r="15">
          <cell r="C15" t="str">
            <v>강동구 평생학습관(명일동 공영주차장)</v>
          </cell>
          <cell r="D15">
            <v>2859</v>
          </cell>
        </row>
        <row r="16">
          <cell r="C16" t="str">
            <v>강동구립암사도서관</v>
          </cell>
          <cell r="D16">
            <v>2305</v>
          </cell>
        </row>
        <row r="17">
          <cell r="C17" t="str">
            <v>둔촌역전통시장공영주차장</v>
          </cell>
          <cell r="D17">
            <v>1051</v>
          </cell>
        </row>
        <row r="18">
          <cell r="C18" t="str">
            <v>2001아울렛천호점</v>
          </cell>
          <cell r="D18">
            <v>1288</v>
          </cell>
        </row>
        <row r="19">
          <cell r="C19" t="str">
            <v>성내1동 주민센터</v>
          </cell>
          <cell r="D19">
            <v>3510</v>
          </cell>
        </row>
        <row r="20">
          <cell r="C20" t="str">
            <v>암사2동 주민센터</v>
          </cell>
          <cell r="D20">
            <v>4046</v>
          </cell>
        </row>
        <row r="21">
          <cell r="C21" t="str">
            <v>강동구민회관</v>
          </cell>
          <cell r="D21">
            <v>4184</v>
          </cell>
        </row>
        <row r="22">
          <cell r="C22" t="str">
            <v>구립안말경로당</v>
          </cell>
          <cell r="D22">
            <v>107</v>
          </cell>
        </row>
        <row r="23">
          <cell r="C23" t="str">
            <v>길동주민센터</v>
          </cell>
          <cell r="D23">
            <v>2038</v>
          </cell>
        </row>
        <row r="24">
          <cell r="C24" t="str">
            <v>천호 청소년 문화의집</v>
          </cell>
          <cell r="D24">
            <v>321</v>
          </cell>
        </row>
        <row r="25">
          <cell r="C25" t="str">
            <v>솔밭근린공원 개방화장실</v>
          </cell>
          <cell r="D25">
            <v>3109</v>
          </cell>
        </row>
        <row r="26">
          <cell r="C26" t="str">
            <v>강북문화예술회관</v>
          </cell>
          <cell r="D26">
            <v>997</v>
          </cell>
        </row>
        <row r="27">
          <cell r="C27" t="str">
            <v>번동북부시장 북부마트</v>
          </cell>
          <cell r="D27">
            <v>997</v>
          </cell>
        </row>
        <row r="28">
          <cell r="C28" t="str">
            <v>수유역1번출구</v>
          </cell>
          <cell r="D28">
            <v>3407</v>
          </cell>
        </row>
        <row r="29">
          <cell r="C29" t="str">
            <v>미아동 복합청사</v>
          </cell>
          <cell r="D29">
            <v>3770</v>
          </cell>
        </row>
        <row r="30">
          <cell r="C30" t="str">
            <v>강북구청 본관 입구</v>
          </cell>
          <cell r="D30">
            <v>3399</v>
          </cell>
        </row>
        <row r="31">
          <cell r="C31" t="str">
            <v>수유1동 주민센터</v>
          </cell>
          <cell r="D31">
            <v>4135</v>
          </cell>
        </row>
        <row r="32">
          <cell r="C32" t="str">
            <v>미아사거리역 1번출구</v>
          </cell>
          <cell r="D32">
            <v>4237</v>
          </cell>
        </row>
        <row r="33">
          <cell r="C33" t="str">
            <v>화곡8동 주민센터</v>
          </cell>
          <cell r="D33">
            <v>2170</v>
          </cell>
        </row>
        <row r="34">
          <cell r="C34" t="str">
            <v>가로공원공영주차장1번출구</v>
          </cell>
          <cell r="D34">
            <v>1908</v>
          </cell>
        </row>
        <row r="35">
          <cell r="C35" t="str">
            <v>화곡 6-1 공영주차장</v>
          </cell>
          <cell r="D35">
            <v>2943</v>
          </cell>
        </row>
        <row r="36">
          <cell r="C36" t="str">
            <v>화곡 3-1 공영주차장</v>
          </cell>
          <cell r="D36">
            <v>2026</v>
          </cell>
        </row>
        <row r="37">
          <cell r="C37" t="str">
            <v>화곡 1-1 공영주차장</v>
          </cell>
          <cell r="D37">
            <v>1032</v>
          </cell>
        </row>
        <row r="38">
          <cell r="C38" t="str">
            <v>내발산동 문화센터</v>
          </cell>
          <cell r="D38">
            <v>3601</v>
          </cell>
        </row>
        <row r="39">
          <cell r="C39" t="str">
            <v>곰달래복지문화센터</v>
          </cell>
          <cell r="D39">
            <v>2238</v>
          </cell>
        </row>
        <row r="40">
          <cell r="C40" t="str">
            <v>화곡4동 주민센터</v>
          </cell>
          <cell r="D40">
            <v>3425</v>
          </cell>
        </row>
        <row r="41">
          <cell r="C41" t="str">
            <v>볏골공원공영주차장</v>
          </cell>
          <cell r="D41">
            <v>2874</v>
          </cell>
        </row>
        <row r="42">
          <cell r="C42" t="str">
            <v>공항동 주민센터</v>
          </cell>
          <cell r="D42">
            <v>1783</v>
          </cell>
        </row>
        <row r="43">
          <cell r="C43" t="str">
            <v>발산1동주민센터</v>
          </cell>
          <cell r="D43">
            <v>2241</v>
          </cell>
        </row>
        <row r="44">
          <cell r="C44" t="str">
            <v>화곡2동주민센터</v>
          </cell>
          <cell r="D44">
            <v>446</v>
          </cell>
        </row>
        <row r="45">
          <cell r="C45" t="str">
            <v>길꽃어린이도서관</v>
          </cell>
          <cell r="D45">
            <v>735</v>
          </cell>
        </row>
        <row r="46">
          <cell r="C46" t="str">
            <v>신방화역환승주차장</v>
          </cell>
          <cell r="D46">
            <v>2184</v>
          </cell>
        </row>
        <row r="47">
          <cell r="C47" t="str">
            <v>서원동주민센터</v>
          </cell>
          <cell r="D47">
            <v>3473</v>
          </cell>
        </row>
        <row r="48">
          <cell r="C48" t="str">
            <v>관악청소년회관</v>
          </cell>
          <cell r="D48">
            <v>3484</v>
          </cell>
        </row>
        <row r="49">
          <cell r="C49" t="str">
            <v>인헌동주민센터</v>
          </cell>
          <cell r="D49">
            <v>3219</v>
          </cell>
        </row>
        <row r="50">
          <cell r="C50" t="str">
            <v>남현동 주민센터</v>
          </cell>
          <cell r="D50">
            <v>2006</v>
          </cell>
        </row>
        <row r="51">
          <cell r="C51" t="str">
            <v>청룡동 주민센터</v>
          </cell>
          <cell r="D51">
            <v>1824</v>
          </cell>
        </row>
        <row r="52">
          <cell r="C52" t="str">
            <v>조원동주민센터</v>
          </cell>
          <cell r="D52">
            <v>1994</v>
          </cell>
        </row>
        <row r="53">
          <cell r="C53" t="str">
            <v>신사동자치회관</v>
          </cell>
          <cell r="D53">
            <v>1941</v>
          </cell>
        </row>
        <row r="54">
          <cell r="C54" t="str">
            <v>행운동주민센터</v>
          </cell>
          <cell r="D54">
            <v>5061</v>
          </cell>
        </row>
        <row r="55">
          <cell r="C55" t="str">
            <v>관악구청</v>
          </cell>
          <cell r="D55">
            <v>3316</v>
          </cell>
        </row>
        <row r="56">
          <cell r="C56" t="str">
            <v>신림여성회관</v>
          </cell>
          <cell r="D56">
            <v>962</v>
          </cell>
        </row>
        <row r="57">
          <cell r="C57" t="str">
            <v>미성체육관</v>
          </cell>
          <cell r="D57">
            <v>535</v>
          </cell>
        </row>
        <row r="58">
          <cell r="C58" t="str">
            <v>신한은행 (구)봉천서 지점</v>
          </cell>
          <cell r="D58">
            <v>1405</v>
          </cell>
        </row>
        <row r="59">
          <cell r="C59" t="str">
            <v>신한은행 신림역</v>
          </cell>
          <cell r="D59">
            <v>1554</v>
          </cell>
        </row>
        <row r="60">
          <cell r="C60" t="str">
            <v>국사봉 체육관</v>
          </cell>
          <cell r="D60">
            <v>24</v>
          </cell>
        </row>
        <row r="61">
          <cell r="C61" t="str">
            <v>구의1동공영주차장</v>
          </cell>
          <cell r="D61">
            <v>812</v>
          </cell>
        </row>
        <row r="62">
          <cell r="C62" t="str">
            <v>(임시철거)중곡감리교회</v>
          </cell>
          <cell r="D62">
            <v>0</v>
          </cell>
        </row>
        <row r="63">
          <cell r="C63" t="str">
            <v>구의2동주택가 공동주차장</v>
          </cell>
          <cell r="D63">
            <v>1996</v>
          </cell>
        </row>
        <row r="64">
          <cell r="C64" t="str">
            <v>자양종합사회복지관</v>
          </cell>
          <cell r="D64">
            <v>2956</v>
          </cell>
        </row>
        <row r="65">
          <cell r="C65" t="str">
            <v>중곡문화체육센터</v>
          </cell>
          <cell r="D65">
            <v>2137</v>
          </cell>
        </row>
        <row r="66">
          <cell r="C66" t="str">
            <v>중곡종합건강센터</v>
          </cell>
          <cell r="D66">
            <v>2396</v>
          </cell>
        </row>
        <row r="67">
          <cell r="C67" t="str">
            <v>화양동주민센터</v>
          </cell>
          <cell r="D67">
            <v>2058</v>
          </cell>
        </row>
        <row r="68">
          <cell r="C68" t="str">
            <v>자양4동 주민센터</v>
          </cell>
          <cell r="D68">
            <v>2565</v>
          </cell>
        </row>
        <row r="69">
          <cell r="C69" t="str">
            <v>동부여성발전센터</v>
          </cell>
          <cell r="D69">
            <v>2669</v>
          </cell>
        </row>
        <row r="70">
          <cell r="C70" t="str">
            <v>중곡1동주민센터</v>
          </cell>
          <cell r="D70">
            <v>1223</v>
          </cell>
        </row>
        <row r="71">
          <cell r="C71" t="str">
            <v>광진경찰서</v>
          </cell>
          <cell r="D71">
            <v>2024</v>
          </cell>
        </row>
        <row r="72">
          <cell r="C72" t="str">
            <v>자양2동주민센터</v>
          </cell>
          <cell r="D72">
            <v>503</v>
          </cell>
        </row>
        <row r="73">
          <cell r="C73" t="str">
            <v>자양문화체육센터</v>
          </cell>
          <cell r="D73">
            <v>696</v>
          </cell>
        </row>
        <row r="74">
          <cell r="C74" t="str">
            <v>군자동주민센터</v>
          </cell>
          <cell r="D74">
            <v>700</v>
          </cell>
        </row>
        <row r="75">
          <cell r="C75" t="str">
            <v>구로구 시설관리공단</v>
          </cell>
          <cell r="D75">
            <v>639</v>
          </cell>
        </row>
        <row r="76">
          <cell r="C76" t="str">
            <v>서울교통공사대림별관</v>
          </cell>
          <cell r="D76">
            <v>1907</v>
          </cell>
        </row>
        <row r="77">
          <cell r="C77" t="str">
            <v>구로역1번출구 NC백화점</v>
          </cell>
          <cell r="D77">
            <v>2345</v>
          </cell>
        </row>
        <row r="78">
          <cell r="C78" t="str">
            <v>구로구민회관</v>
          </cell>
          <cell r="D78">
            <v>1872</v>
          </cell>
        </row>
        <row r="79">
          <cell r="C79" t="str">
            <v>구로2동주민센터앞</v>
          </cell>
          <cell r="D79">
            <v>1799</v>
          </cell>
        </row>
        <row r="80">
          <cell r="C80" t="str">
            <v>오류1동텃골공영주차장</v>
          </cell>
          <cell r="D80">
            <v>3370</v>
          </cell>
        </row>
        <row r="81">
          <cell r="C81" t="str">
            <v>구로구민체육센터</v>
          </cell>
          <cell r="D81">
            <v>248</v>
          </cell>
        </row>
        <row r="82">
          <cell r="C82" t="str">
            <v>(임시철거)금빛휘트니스센터</v>
          </cell>
          <cell r="D82">
            <v>0</v>
          </cell>
        </row>
        <row r="83">
          <cell r="C83" t="str">
            <v>신한은행 금천점</v>
          </cell>
          <cell r="D83">
            <v>838</v>
          </cell>
        </row>
        <row r="84">
          <cell r="C84" t="str">
            <v>시흥4동 주민센터</v>
          </cell>
          <cell r="D84">
            <v>2829</v>
          </cell>
        </row>
        <row r="85">
          <cell r="C85" t="str">
            <v>금천호암노인복지관</v>
          </cell>
          <cell r="D85">
            <v>227</v>
          </cell>
        </row>
        <row r="86">
          <cell r="C86" t="str">
            <v>시흥3동 주민센터</v>
          </cell>
          <cell r="D86">
            <v>1751</v>
          </cell>
        </row>
        <row r="87">
          <cell r="C87" t="str">
            <v>독산1동주민센터</v>
          </cell>
          <cell r="D87">
            <v>2641</v>
          </cell>
        </row>
        <row r="88">
          <cell r="C88" t="str">
            <v>금천구청</v>
          </cell>
          <cell r="D88">
            <v>1568</v>
          </cell>
        </row>
        <row r="89">
          <cell r="C89" t="str">
            <v>독산2동주민센터</v>
          </cell>
          <cell r="D89">
            <v>1613</v>
          </cell>
        </row>
        <row r="90">
          <cell r="C90" t="str">
            <v>상계2동주민센터</v>
          </cell>
          <cell r="D90">
            <v>4187</v>
          </cell>
        </row>
        <row r="91">
          <cell r="C91" t="str">
            <v>(임시철거)월계문화정보도서관</v>
          </cell>
          <cell r="D91">
            <v>0</v>
          </cell>
        </row>
        <row r="92">
          <cell r="C92" t="str">
            <v>상계3,4동 주민센터</v>
          </cell>
          <cell r="D92">
            <v>950</v>
          </cell>
        </row>
        <row r="93">
          <cell r="C93" t="str">
            <v>상계역 자전거대여소</v>
          </cell>
          <cell r="D93">
            <v>6655</v>
          </cell>
        </row>
        <row r="94">
          <cell r="C94" t="str">
            <v>공릉 청소년문화정보센터</v>
          </cell>
          <cell r="D94">
            <v>3336</v>
          </cell>
        </row>
        <row r="95">
          <cell r="C95" t="str">
            <v>공릉1동 주민센터(노원)</v>
          </cell>
          <cell r="D95">
            <v>3063</v>
          </cell>
        </row>
        <row r="96">
          <cell r="C96" t="str">
            <v>공릉종합사회복지관</v>
          </cell>
          <cell r="D96">
            <v>966</v>
          </cell>
        </row>
        <row r="97">
          <cell r="C97" t="str">
            <v>상계문화정보도서관</v>
          </cell>
          <cell r="D97">
            <v>1556</v>
          </cell>
        </row>
        <row r="98">
          <cell r="C98" t="str">
            <v>도봉구민회관</v>
          </cell>
          <cell r="D98">
            <v>4630</v>
          </cell>
        </row>
        <row r="99">
          <cell r="C99" t="str">
            <v>도봉서원종합사회복지관</v>
          </cell>
          <cell r="D99">
            <v>1970</v>
          </cell>
        </row>
        <row r="100">
          <cell r="C100" t="str">
            <v>(임시철거)창1동제1공영주차장</v>
          </cell>
          <cell r="D100">
            <v>0</v>
          </cell>
        </row>
        <row r="101">
          <cell r="C101" t="str">
            <v>방아골종합사회복지관</v>
          </cell>
          <cell r="D101">
            <v>1135</v>
          </cell>
        </row>
        <row r="102">
          <cell r="C102" t="str">
            <v>도봉1동주민센터</v>
          </cell>
          <cell r="D102">
            <v>2140</v>
          </cell>
        </row>
        <row r="103">
          <cell r="C103" t="str">
            <v>창2동 신창교회</v>
          </cell>
          <cell r="D103">
            <v>1860</v>
          </cell>
        </row>
        <row r="104">
          <cell r="C104" t="str">
            <v>염광교회</v>
          </cell>
          <cell r="D104">
            <v>1214</v>
          </cell>
        </row>
        <row r="105">
          <cell r="C105" t="str">
            <v>창3동 주민센터</v>
          </cell>
          <cell r="D105">
            <v>1286</v>
          </cell>
        </row>
        <row r="106">
          <cell r="C106" t="str">
            <v>이문체육문화센터</v>
          </cell>
          <cell r="D106">
            <v>637</v>
          </cell>
        </row>
        <row r="107">
          <cell r="C107" t="str">
            <v>장안2동 공영주차장</v>
          </cell>
          <cell r="D107">
            <v>2742</v>
          </cell>
        </row>
        <row r="108">
          <cell r="C108" t="str">
            <v>동대문구청 종합민원실</v>
          </cell>
          <cell r="D108">
            <v>3812</v>
          </cell>
        </row>
        <row r="109">
          <cell r="C109" t="str">
            <v>회기동공영주차장</v>
          </cell>
          <cell r="D109">
            <v>1502</v>
          </cell>
        </row>
        <row r="110">
          <cell r="C110" t="str">
            <v>답십리도서관</v>
          </cell>
          <cell r="D110">
            <v>2586</v>
          </cell>
        </row>
        <row r="111">
          <cell r="C111" t="str">
            <v>정보화도서관</v>
          </cell>
          <cell r="D111">
            <v>3176</v>
          </cell>
        </row>
        <row r="112">
          <cell r="C112" t="str">
            <v>장안종합사회복지관</v>
          </cell>
          <cell r="D112">
            <v>2754</v>
          </cell>
        </row>
        <row r="113">
          <cell r="C113" t="str">
            <v>답십리2청소년독서실</v>
          </cell>
          <cell r="D113">
            <v>412</v>
          </cell>
        </row>
        <row r="114">
          <cell r="C114" t="str">
            <v>휘경동공영주차장</v>
          </cell>
          <cell r="D114">
            <v>924</v>
          </cell>
        </row>
        <row r="115">
          <cell r="C115" t="str">
            <v>신한은행 외대역 지점</v>
          </cell>
          <cell r="D115">
            <v>2712</v>
          </cell>
        </row>
        <row r="116">
          <cell r="C116" t="str">
            <v>(임시철거)고대앞마을 주민사랑방</v>
          </cell>
          <cell r="D116">
            <v>0</v>
          </cell>
        </row>
        <row r="117">
          <cell r="C117" t="str">
            <v>순만빌딩</v>
          </cell>
          <cell r="D117">
            <v>2627</v>
          </cell>
        </row>
        <row r="118">
          <cell r="C118" t="str">
            <v>사당문화회관</v>
          </cell>
          <cell r="D118">
            <v>2592</v>
          </cell>
        </row>
        <row r="119">
          <cell r="C119" t="str">
            <v>상도1동주민센터</v>
          </cell>
          <cell r="D119">
            <v>3156</v>
          </cell>
        </row>
        <row r="120">
          <cell r="C120" t="str">
            <v>예그리나주택</v>
          </cell>
          <cell r="D120">
            <v>639</v>
          </cell>
        </row>
        <row r="121">
          <cell r="C121" t="str">
            <v>강남교회 교육관</v>
          </cell>
          <cell r="D121">
            <v>1996</v>
          </cell>
        </row>
        <row r="122">
          <cell r="C122" t="str">
            <v xml:space="preserve">동작 청소년문화의 집 </v>
          </cell>
          <cell r="D122">
            <v>1426</v>
          </cell>
        </row>
        <row r="123">
          <cell r="C123" t="str">
            <v>kb국민은행 동작구청지점</v>
          </cell>
          <cell r="D123">
            <v>7121</v>
          </cell>
        </row>
        <row r="124">
          <cell r="C124" t="str">
            <v>사당노인종합복지관</v>
          </cell>
          <cell r="D124">
            <v>2316</v>
          </cell>
        </row>
        <row r="125">
          <cell r="C125" t="str">
            <v>스페이스살림</v>
          </cell>
          <cell r="D125">
            <v>2684</v>
          </cell>
        </row>
        <row r="126">
          <cell r="C126" t="str">
            <v>상도3동 주민센터</v>
          </cell>
          <cell r="D126">
            <v>4308</v>
          </cell>
        </row>
        <row r="127">
          <cell r="C127" t="str">
            <v>신대방해피점</v>
          </cell>
          <cell r="D127">
            <v>740</v>
          </cell>
        </row>
        <row r="128">
          <cell r="C128" t="str">
            <v>현대오일뱅크_사당셀프주유소</v>
          </cell>
          <cell r="D128">
            <v>1722</v>
          </cell>
        </row>
        <row r="129">
          <cell r="C129" t="str">
            <v>신한은행 숭실대역 지점</v>
          </cell>
          <cell r="D129">
            <v>551</v>
          </cell>
        </row>
        <row r="130">
          <cell r="C130" t="str">
            <v>사당종합체육관</v>
          </cell>
          <cell r="D130">
            <v>645</v>
          </cell>
        </row>
        <row r="131">
          <cell r="C131" t="str">
            <v>동교치안센터</v>
          </cell>
          <cell r="D131">
            <v>1446</v>
          </cell>
        </row>
        <row r="132">
          <cell r="C132" t="str">
            <v>서현교회</v>
          </cell>
          <cell r="D132">
            <v>3284</v>
          </cell>
        </row>
        <row r="133">
          <cell r="C133" t="str">
            <v>서강동주민센터</v>
          </cell>
          <cell r="D133">
            <v>429</v>
          </cell>
        </row>
        <row r="134">
          <cell r="C134" t="str">
            <v>성산1동주민센터</v>
          </cell>
          <cell r="D134">
            <v>509</v>
          </cell>
        </row>
        <row r="135">
          <cell r="C135" t="str">
            <v>망원2동 치안센터</v>
          </cell>
          <cell r="D135">
            <v>1946</v>
          </cell>
        </row>
        <row r="136">
          <cell r="C136" t="str">
            <v>신수동주민센터</v>
          </cell>
          <cell r="D136">
            <v>2009</v>
          </cell>
        </row>
        <row r="137">
          <cell r="C137" t="str">
            <v>성산2동주민센터</v>
          </cell>
          <cell r="D137">
            <v>1578</v>
          </cell>
        </row>
        <row r="138">
          <cell r="C138" t="str">
            <v>연남동희망원룸주택</v>
          </cell>
          <cell r="D138">
            <v>1375</v>
          </cell>
        </row>
        <row r="139">
          <cell r="C139" t="str">
            <v>상암동 제1공영주차장</v>
          </cell>
          <cell r="D139">
            <v>3806</v>
          </cell>
        </row>
        <row r="140">
          <cell r="C140" t="str">
            <v>마포아트센터</v>
          </cell>
          <cell r="D140">
            <v>2591</v>
          </cell>
        </row>
        <row r="141">
          <cell r="C141" t="str">
            <v>대흥동주민센터</v>
          </cell>
          <cell r="D141">
            <v>3259</v>
          </cell>
        </row>
        <row r="142">
          <cell r="C142" t="str">
            <v>연남동 주민커뮤니티센터</v>
          </cell>
          <cell r="D142">
            <v>3158</v>
          </cell>
        </row>
        <row r="143">
          <cell r="C143" t="str">
            <v>도화동 주민센터</v>
          </cell>
          <cell r="D143">
            <v>5011</v>
          </cell>
        </row>
        <row r="144">
          <cell r="C144" t="str">
            <v>서교동교회</v>
          </cell>
          <cell r="D144">
            <v>713</v>
          </cell>
        </row>
        <row r="145">
          <cell r="C145" t="str">
            <v>상암동주민센터후문</v>
          </cell>
          <cell r="D145">
            <v>804</v>
          </cell>
        </row>
        <row r="146">
          <cell r="C146" t="str">
            <v>홍제3동 주민센터</v>
          </cell>
          <cell r="D146">
            <v>1554</v>
          </cell>
        </row>
        <row r="147">
          <cell r="C147" t="str">
            <v>홍은2동 주민센터</v>
          </cell>
          <cell r="D147">
            <v>1731</v>
          </cell>
        </row>
        <row r="148">
          <cell r="C148" t="str">
            <v>연희동주민센터</v>
          </cell>
          <cell r="D148">
            <v>1565</v>
          </cell>
        </row>
        <row r="149">
          <cell r="C149" t="str">
            <v>홍은1동주민센터</v>
          </cell>
          <cell r="D149">
            <v>1584</v>
          </cell>
        </row>
        <row r="150">
          <cell r="C150" t="str">
            <v>신한은행_연희동점</v>
          </cell>
          <cell r="D150">
            <v>691</v>
          </cell>
        </row>
        <row r="151">
          <cell r="C151" t="str">
            <v>서부제일교회 어린이도서관</v>
          </cell>
          <cell r="D151">
            <v>319</v>
          </cell>
        </row>
        <row r="152">
          <cell r="C152" t="str">
            <v>봉원교회 북카페 옆</v>
          </cell>
          <cell r="D152">
            <v>791</v>
          </cell>
        </row>
        <row r="153">
          <cell r="C153" t="str">
            <v>북아현동 주민센터</v>
          </cell>
          <cell r="D153">
            <v>4873</v>
          </cell>
        </row>
        <row r="154">
          <cell r="C154" t="str">
            <v>충현동주민센터</v>
          </cell>
          <cell r="D154">
            <v>1182</v>
          </cell>
        </row>
        <row r="155">
          <cell r="C155" t="str">
            <v>청년누리</v>
          </cell>
          <cell r="D155">
            <v>2345</v>
          </cell>
        </row>
        <row r="156">
          <cell r="C156" t="str">
            <v>신한은행 명지대 지점</v>
          </cell>
          <cell r="D156">
            <v>1835</v>
          </cell>
        </row>
        <row r="157">
          <cell r="C157" t="str">
            <v>남가좌2동 제2공영주차장</v>
          </cell>
          <cell r="D157">
            <v>588</v>
          </cell>
        </row>
        <row r="158">
          <cell r="C158" t="str">
            <v>신한은행_남가좌동점</v>
          </cell>
          <cell r="D158">
            <v>831</v>
          </cell>
        </row>
        <row r="159">
          <cell r="C159" t="str">
            <v>양재2동주민센터</v>
          </cell>
          <cell r="D159">
            <v>3169</v>
          </cell>
        </row>
        <row r="160">
          <cell r="C160" t="str">
            <v>언구비 공영주차장</v>
          </cell>
          <cell r="D160">
            <v>3277</v>
          </cell>
        </row>
        <row r="161">
          <cell r="C161" t="str">
            <v>방배열린문화센터</v>
          </cell>
          <cell r="D161">
            <v>4113</v>
          </cell>
        </row>
        <row r="162">
          <cell r="C162" t="str">
            <v>방배2동 주민센터</v>
          </cell>
          <cell r="D162">
            <v>1551</v>
          </cell>
        </row>
        <row r="163">
          <cell r="C163" t="str">
            <v>서초꿈나무라이온스 보금자리</v>
          </cell>
          <cell r="D163">
            <v>1147</v>
          </cell>
        </row>
        <row r="164">
          <cell r="C164" t="str">
            <v>양재1동 반딧불센터</v>
          </cell>
          <cell r="D164">
            <v>245</v>
          </cell>
        </row>
        <row r="165">
          <cell r="C165" t="str">
            <v>양재1동민원분소</v>
          </cell>
          <cell r="D165">
            <v>1541</v>
          </cell>
        </row>
        <row r="166">
          <cell r="C166" t="str">
            <v>성동구민종합체육센터</v>
          </cell>
          <cell r="D166">
            <v>2079</v>
          </cell>
        </row>
        <row r="167">
          <cell r="C167" t="str">
            <v>성동구립도서관</v>
          </cell>
          <cell r="D167">
            <v>5485</v>
          </cell>
        </row>
        <row r="168">
          <cell r="C168" t="str">
            <v>왕십리2동주민센터</v>
          </cell>
          <cell r="D168">
            <v>1023</v>
          </cell>
        </row>
        <row r="169">
          <cell r="C169" t="str">
            <v>사근동주민센터</v>
          </cell>
          <cell r="D169">
            <v>829</v>
          </cell>
        </row>
        <row r="170">
          <cell r="C170" t="str">
            <v>열린금호교육문화관</v>
          </cell>
          <cell r="D170">
            <v>911</v>
          </cell>
        </row>
        <row r="171">
          <cell r="C171" t="str">
            <v>하왕십리공영주차장</v>
          </cell>
          <cell r="D171">
            <v>1083</v>
          </cell>
        </row>
        <row r="172">
          <cell r="C172" t="str">
            <v>성수2가3동 공영주차장</v>
          </cell>
          <cell r="D172">
            <v>747</v>
          </cell>
        </row>
        <row r="173">
          <cell r="C173" t="str">
            <v>응봉동 공영주차장</v>
          </cell>
          <cell r="D173">
            <v>3</v>
          </cell>
        </row>
        <row r="174">
          <cell r="C174" t="str">
            <v>성북희망나눔봉사센터</v>
          </cell>
          <cell r="D174">
            <v>2728</v>
          </cell>
        </row>
        <row r="175">
          <cell r="C175" t="str">
            <v>안암교회</v>
          </cell>
          <cell r="D175">
            <v>1665</v>
          </cell>
        </row>
        <row r="176">
          <cell r="C176" t="str">
            <v>성북정릉감리교회</v>
          </cell>
          <cell r="D176">
            <v>117</v>
          </cell>
        </row>
        <row r="177">
          <cell r="C177" t="str">
            <v>제일빌딩</v>
          </cell>
          <cell r="D177">
            <v>794</v>
          </cell>
        </row>
        <row r="178">
          <cell r="C178" t="str">
            <v>아리랑 시네미디어센터</v>
          </cell>
          <cell r="D178">
            <v>3519</v>
          </cell>
        </row>
        <row r="179">
          <cell r="C179" t="str">
            <v>장위1동 주민센터</v>
          </cell>
          <cell r="D179">
            <v>3356</v>
          </cell>
        </row>
        <row r="180">
          <cell r="C180" t="str">
            <v>석관동주민센터</v>
          </cell>
          <cell r="D180">
            <v>1787</v>
          </cell>
        </row>
        <row r="181">
          <cell r="C181" t="str">
            <v>보문부모아이지원센터</v>
          </cell>
          <cell r="D181">
            <v>971</v>
          </cell>
        </row>
        <row r="182">
          <cell r="C182" t="str">
            <v>삼전지구대</v>
          </cell>
          <cell r="D182">
            <v>1774</v>
          </cell>
        </row>
        <row r="183">
          <cell r="C183" t="str">
            <v>가락2동치안센터</v>
          </cell>
          <cell r="D183">
            <v>1008</v>
          </cell>
        </row>
        <row r="184">
          <cell r="C184" t="str">
            <v>장지동 주민센터</v>
          </cell>
          <cell r="D184">
            <v>1751</v>
          </cell>
        </row>
        <row r="185">
          <cell r="C185" t="str">
            <v>거여2동주민센터</v>
          </cell>
          <cell r="D185">
            <v>2781</v>
          </cell>
        </row>
        <row r="186">
          <cell r="C186" t="str">
            <v>마천2동주민센터</v>
          </cell>
          <cell r="D186">
            <v>4445</v>
          </cell>
        </row>
        <row r="187">
          <cell r="C187" t="str">
            <v>석촌동주민센터</v>
          </cell>
          <cell r="D187">
            <v>4497</v>
          </cell>
        </row>
        <row r="188">
          <cell r="C188" t="str">
            <v>송파노인종합복지관</v>
          </cell>
          <cell r="D188">
            <v>2217</v>
          </cell>
        </row>
        <row r="189">
          <cell r="C189" t="str">
            <v>여의도 순복음송파교회</v>
          </cell>
          <cell r="D189">
            <v>3115</v>
          </cell>
        </row>
        <row r="190">
          <cell r="C190" t="str">
            <v>송파여성 문화회관</v>
          </cell>
          <cell r="D190">
            <v>7584</v>
          </cell>
        </row>
        <row r="191">
          <cell r="C191" t="str">
            <v>거여1동주민센터</v>
          </cell>
          <cell r="D191">
            <v>1418</v>
          </cell>
        </row>
        <row r="192">
          <cell r="C192" t="str">
            <v>문정1동 주민센터</v>
          </cell>
          <cell r="D192">
            <v>3483</v>
          </cell>
        </row>
        <row r="193">
          <cell r="C193" t="str">
            <v>양천나눔누리센터</v>
          </cell>
          <cell r="D193">
            <v>5132</v>
          </cell>
        </row>
        <row r="194">
          <cell r="C194" t="str">
            <v>목동실버복지문화센터</v>
          </cell>
          <cell r="D194">
            <v>2754</v>
          </cell>
        </row>
        <row r="195">
          <cell r="C195" t="str">
            <v>신월3동주민센터</v>
          </cell>
          <cell r="D195">
            <v>2319</v>
          </cell>
        </row>
        <row r="196">
          <cell r="C196" t="str">
            <v>신정4동주민센터</v>
          </cell>
          <cell r="D196">
            <v>3640</v>
          </cell>
        </row>
        <row r="197">
          <cell r="C197" t="str">
            <v>목동문화체육센터</v>
          </cell>
          <cell r="D197">
            <v>2540</v>
          </cell>
        </row>
        <row r="198">
          <cell r="C198" t="str">
            <v>신월문화체육센터</v>
          </cell>
          <cell r="D198">
            <v>2062</v>
          </cell>
        </row>
        <row r="199">
          <cell r="C199" t="str">
            <v>신월5동주민센터</v>
          </cell>
          <cell r="D199">
            <v>1300</v>
          </cell>
        </row>
        <row r="200">
          <cell r="C200" t="str">
            <v>신월4동주민센터</v>
          </cell>
          <cell r="D200">
            <v>1618</v>
          </cell>
        </row>
        <row r="201">
          <cell r="C201" t="str">
            <v>목3동 주민센터</v>
          </cell>
          <cell r="D201">
            <v>2459</v>
          </cell>
        </row>
        <row r="202">
          <cell r="C202" t="str">
            <v>목동보건지소</v>
          </cell>
          <cell r="D202">
            <v>1348</v>
          </cell>
        </row>
        <row r="203">
          <cell r="C203" t="str">
            <v>영등포 평생학습관</v>
          </cell>
          <cell r="D203">
            <v>1902</v>
          </cell>
        </row>
        <row r="204">
          <cell r="C204" t="str">
            <v>영등포본동주민센터</v>
          </cell>
          <cell r="D204">
            <v>3781</v>
          </cell>
        </row>
        <row r="205">
          <cell r="C205" t="str">
            <v>신길4동1동1마을공영주차장</v>
          </cell>
          <cell r="D205">
            <v>2360</v>
          </cell>
        </row>
        <row r="206">
          <cell r="C206" t="str">
            <v>신길7동 주민센터</v>
          </cell>
          <cell r="D206">
            <v>2335</v>
          </cell>
        </row>
        <row r="207">
          <cell r="C207" t="str">
            <v>도림동 주민센터</v>
          </cell>
          <cell r="D207">
            <v>1813</v>
          </cell>
        </row>
        <row r="208">
          <cell r="C208" t="str">
            <v>다사랑어린이공원(경로당)</v>
          </cell>
          <cell r="D208">
            <v>541</v>
          </cell>
        </row>
        <row r="209">
          <cell r="C209" t="str">
            <v>신길1동 주민센터</v>
          </cell>
          <cell r="D209">
            <v>2830</v>
          </cell>
        </row>
        <row r="210">
          <cell r="C210" t="str">
            <v>대림도서관</v>
          </cell>
          <cell r="D210">
            <v>1859</v>
          </cell>
        </row>
        <row r="211">
          <cell r="C211" t="str">
            <v>영등포 제1스포츠센터</v>
          </cell>
          <cell r="D211">
            <v>1744</v>
          </cell>
        </row>
        <row r="212">
          <cell r="C212" t="str">
            <v>그린케어센터</v>
          </cell>
          <cell r="D212">
            <v>3591</v>
          </cell>
        </row>
        <row r="213">
          <cell r="C213" t="str">
            <v>신길6동복지관</v>
          </cell>
          <cell r="D213">
            <v>1121</v>
          </cell>
        </row>
        <row r="214">
          <cell r="C214" t="str">
            <v>용산치안센터(2가동주민센터)</v>
          </cell>
          <cell r="D214">
            <v>1549</v>
          </cell>
        </row>
        <row r="215">
          <cell r="C215" t="str">
            <v>효창동주민센터</v>
          </cell>
          <cell r="D215">
            <v>1020</v>
          </cell>
        </row>
        <row r="216">
          <cell r="C216" t="str">
            <v>한남동공영주차장</v>
          </cell>
          <cell r="D216">
            <v>1304</v>
          </cell>
        </row>
        <row r="217">
          <cell r="C217" t="str">
            <v>용산구청후문</v>
          </cell>
          <cell r="D217">
            <v>2470</v>
          </cell>
        </row>
        <row r="218">
          <cell r="C218" t="str">
            <v>갈월종합사회복지관</v>
          </cell>
          <cell r="D218">
            <v>3555</v>
          </cell>
        </row>
        <row r="219">
          <cell r="C219" t="str">
            <v>용산꿈나무종합타운</v>
          </cell>
          <cell r="D219">
            <v>1192</v>
          </cell>
        </row>
        <row r="220">
          <cell r="C220" t="str">
            <v>보광동주민센터</v>
          </cell>
          <cell r="D220">
            <v>715</v>
          </cell>
        </row>
        <row r="221">
          <cell r="C221" t="str">
            <v>숙대 명재관 인근</v>
          </cell>
          <cell r="D221">
            <v>2190</v>
          </cell>
        </row>
        <row r="222">
          <cell r="C222" t="str">
            <v>갈현청소년센터쉼쉼</v>
          </cell>
          <cell r="D222">
            <v>469</v>
          </cell>
        </row>
        <row r="223">
          <cell r="C223" t="str">
            <v>불광1동 치안센터</v>
          </cell>
          <cell r="D223">
            <v>4271</v>
          </cell>
        </row>
        <row r="224">
          <cell r="C224" t="str">
            <v>녹번 119안전센터</v>
          </cell>
          <cell r="D224">
            <v>3841</v>
          </cell>
        </row>
        <row r="225">
          <cell r="C225" t="str">
            <v>증산 정보도서관</v>
          </cell>
          <cell r="D225">
            <v>6509</v>
          </cell>
        </row>
        <row r="226">
          <cell r="C226" t="str">
            <v>갈현1동 주민센터</v>
          </cell>
          <cell r="D226">
            <v>2582</v>
          </cell>
        </row>
        <row r="227">
          <cell r="C227" t="str">
            <v>역촌동 주민센터</v>
          </cell>
          <cell r="D227">
            <v>3831</v>
          </cell>
        </row>
        <row r="228">
          <cell r="C228" t="str">
            <v>연신내 지구대</v>
          </cell>
          <cell r="D228">
            <v>2324</v>
          </cell>
        </row>
        <row r="229">
          <cell r="C229" t="str">
            <v>구산동주민센터</v>
          </cell>
          <cell r="D229">
            <v>2042</v>
          </cell>
        </row>
        <row r="230">
          <cell r="C230" t="str">
            <v>신사종합사회복지관</v>
          </cell>
          <cell r="D230">
            <v>4826</v>
          </cell>
        </row>
        <row r="231">
          <cell r="C231" t="str">
            <v>청운효자동 자치회관</v>
          </cell>
          <cell r="D231">
            <v>1969</v>
          </cell>
        </row>
        <row r="232">
          <cell r="C232" t="str">
            <v>종로육아종합지원센터</v>
          </cell>
          <cell r="D232">
            <v>3157</v>
          </cell>
        </row>
        <row r="233">
          <cell r="C233" t="str">
            <v>숭인1동 주민센터</v>
          </cell>
          <cell r="D233">
            <v>2110</v>
          </cell>
        </row>
        <row r="234">
          <cell r="C234" t="str">
            <v>종로구민회관</v>
          </cell>
          <cell r="D234">
            <v>959</v>
          </cell>
        </row>
        <row r="235">
          <cell r="C235" t="str">
            <v>숭인제2동주민센터</v>
          </cell>
          <cell r="D235">
            <v>628</v>
          </cell>
        </row>
        <row r="236">
          <cell r="C236" t="str">
            <v>약수동공영주차장</v>
          </cell>
          <cell r="D236">
            <v>1248</v>
          </cell>
        </row>
        <row r="237">
          <cell r="C237" t="str">
            <v>버티 공영주차장</v>
          </cell>
          <cell r="D237">
            <v>1892</v>
          </cell>
        </row>
        <row r="238">
          <cell r="C238" t="str">
            <v>장충체육관 후문</v>
          </cell>
          <cell r="D238">
            <v>1530</v>
          </cell>
        </row>
        <row r="239">
          <cell r="C239" t="str">
            <v>약수교회 식당입구</v>
          </cell>
          <cell r="D239">
            <v>1416</v>
          </cell>
        </row>
        <row r="240">
          <cell r="C240" t="str">
            <v>충무창업큐브</v>
          </cell>
          <cell r="D240">
            <v>112</v>
          </cell>
        </row>
        <row r="241">
          <cell r="C241" t="str">
            <v>면목4동주민센터</v>
          </cell>
          <cell r="D241">
            <v>2858</v>
          </cell>
        </row>
        <row r="242">
          <cell r="C242" t="str">
            <v>면목5동 주민센터</v>
          </cell>
          <cell r="D242">
            <v>1804</v>
          </cell>
        </row>
        <row r="243">
          <cell r="C243" t="str">
            <v>면목본동 주민센터</v>
          </cell>
          <cell r="D243">
            <v>7217</v>
          </cell>
        </row>
        <row r="244">
          <cell r="C244" t="str">
            <v>상봉2동주민센터</v>
          </cell>
          <cell r="D244">
            <v>1211</v>
          </cell>
        </row>
        <row r="245">
          <cell r="C245" t="str">
            <v>상봉1동주민센터</v>
          </cell>
          <cell r="D245">
            <v>2051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(25년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5">
          <cell r="C5" t="str">
            <v>논현1동주민센터</v>
          </cell>
          <cell r="D5">
            <v>3186</v>
          </cell>
        </row>
        <row r="6">
          <cell r="C6" t="str">
            <v>대치4동 주민센터</v>
          </cell>
          <cell r="D6">
            <v>11052</v>
          </cell>
        </row>
        <row r="7">
          <cell r="C7" t="str">
            <v>도곡2동주민센터</v>
          </cell>
          <cell r="D7">
            <v>4713</v>
          </cell>
        </row>
        <row r="8">
          <cell r="C8" t="str">
            <v>역삼청소년수련관</v>
          </cell>
          <cell r="D8">
            <v>1233</v>
          </cell>
        </row>
        <row r="9">
          <cell r="C9" t="str">
            <v>대치2동 주민센터</v>
          </cell>
          <cell r="D9">
            <v>3368</v>
          </cell>
        </row>
        <row r="10">
          <cell r="C10" t="str">
            <v>도곡1동 주민센터</v>
          </cell>
          <cell r="D10">
            <v>1370</v>
          </cell>
        </row>
        <row r="11">
          <cell r="C11" t="str">
            <v>역삼1동 주민센터</v>
          </cell>
          <cell r="D11">
            <v>2480</v>
          </cell>
        </row>
        <row r="12">
          <cell r="C12" t="str">
            <v>강동구립해공도서관</v>
          </cell>
          <cell r="D12">
            <v>1385</v>
          </cell>
        </row>
        <row r="13">
          <cell r="C13" t="str">
            <v>강동구 평생학습관(명일동 공영주차장)</v>
          </cell>
          <cell r="D13">
            <v>2547</v>
          </cell>
        </row>
        <row r="14">
          <cell r="C14" t="str">
            <v>강동구립암사도서관</v>
          </cell>
          <cell r="D14">
            <v>1493</v>
          </cell>
        </row>
        <row r="15">
          <cell r="C15" t="str">
            <v>둔촌역전통시장공영주차장</v>
          </cell>
          <cell r="D15">
            <v>1155</v>
          </cell>
        </row>
        <row r="16">
          <cell r="C16" t="str">
            <v>2001아울렛천호점</v>
          </cell>
          <cell r="D16">
            <v>0</v>
          </cell>
        </row>
        <row r="17">
          <cell r="C17" t="str">
            <v>성내1동 주민센터</v>
          </cell>
          <cell r="D17">
            <v>3687</v>
          </cell>
        </row>
        <row r="18">
          <cell r="C18" t="str">
            <v>암사2동 주민센터</v>
          </cell>
          <cell r="D18">
            <v>2815</v>
          </cell>
        </row>
        <row r="19">
          <cell r="C19" t="str">
            <v>강동구민회관</v>
          </cell>
          <cell r="D19">
            <v>3668</v>
          </cell>
        </row>
        <row r="20">
          <cell r="C20" t="str">
            <v>구립안말경로당</v>
          </cell>
          <cell r="D20">
            <v>31</v>
          </cell>
        </row>
        <row r="21">
          <cell r="C21" t="str">
            <v>길동주민센터</v>
          </cell>
          <cell r="D21">
            <v>2002</v>
          </cell>
        </row>
        <row r="22">
          <cell r="C22" t="str">
            <v>천호 청소년 문화의집</v>
          </cell>
          <cell r="D22">
            <v>349</v>
          </cell>
        </row>
        <row r="23">
          <cell r="C23" t="str">
            <v>솔밭근린공원 개방화장실</v>
          </cell>
          <cell r="D23">
            <v>2920</v>
          </cell>
        </row>
        <row r="24">
          <cell r="C24" t="str">
            <v>번동북부시장 북부마트</v>
          </cell>
          <cell r="D24">
            <v>788</v>
          </cell>
        </row>
        <row r="25">
          <cell r="C25" t="str">
            <v>수유역1번출구</v>
          </cell>
          <cell r="D25">
            <v>4059</v>
          </cell>
        </row>
        <row r="26">
          <cell r="C26" t="str">
            <v>미아동 복합청사</v>
          </cell>
          <cell r="D26">
            <v>3343</v>
          </cell>
        </row>
        <row r="27">
          <cell r="C27" t="str">
            <v>강북구청 본관 입구</v>
          </cell>
          <cell r="D27">
            <v>3648</v>
          </cell>
        </row>
        <row r="28">
          <cell r="C28" t="str">
            <v>수유1동 주민센터</v>
          </cell>
          <cell r="D28">
            <v>3334</v>
          </cell>
        </row>
        <row r="29">
          <cell r="C29" t="str">
            <v>미아사거리역 1번출구</v>
          </cell>
          <cell r="D29">
            <v>4308</v>
          </cell>
        </row>
        <row r="30">
          <cell r="C30" t="str">
            <v>화곡8동 주민센터</v>
          </cell>
          <cell r="D30">
            <v>2504</v>
          </cell>
        </row>
        <row r="31">
          <cell r="C31" t="str">
            <v>가로공원공영주차장1번출구</v>
          </cell>
          <cell r="D31">
            <v>1958</v>
          </cell>
        </row>
        <row r="32">
          <cell r="C32" t="str">
            <v>화곡 6-1 공영주차장</v>
          </cell>
          <cell r="D32">
            <v>2143</v>
          </cell>
        </row>
        <row r="33">
          <cell r="C33" t="str">
            <v>화곡 3-1 공영주차장</v>
          </cell>
          <cell r="D33">
            <v>2200</v>
          </cell>
        </row>
        <row r="34">
          <cell r="C34" t="str">
            <v>화곡 1-1 공영주차장</v>
          </cell>
          <cell r="D34">
            <v>1259</v>
          </cell>
        </row>
        <row r="35">
          <cell r="C35" t="str">
            <v>내발산동 문화센터</v>
          </cell>
          <cell r="D35">
            <v>3046</v>
          </cell>
        </row>
        <row r="36">
          <cell r="C36" t="str">
            <v>곰달래복지문화센터</v>
          </cell>
          <cell r="D36">
            <v>2012</v>
          </cell>
        </row>
        <row r="37">
          <cell r="C37" t="str">
            <v>화곡4동 주민센터</v>
          </cell>
          <cell r="D37">
            <v>3153</v>
          </cell>
        </row>
        <row r="38">
          <cell r="C38" t="str">
            <v>볏골공원공영주차장</v>
          </cell>
          <cell r="D38">
            <v>2865</v>
          </cell>
        </row>
        <row r="39">
          <cell r="C39" t="str">
            <v>공항동 주민센터</v>
          </cell>
          <cell r="D39">
            <v>1505</v>
          </cell>
        </row>
        <row r="40">
          <cell r="C40" t="str">
            <v>발산1동주민센터</v>
          </cell>
          <cell r="D40">
            <v>2423</v>
          </cell>
        </row>
        <row r="41">
          <cell r="C41" t="str">
            <v>화곡2동주민센터</v>
          </cell>
          <cell r="D41">
            <v>378</v>
          </cell>
        </row>
        <row r="42">
          <cell r="C42" t="str">
            <v>길꽃어린이도서관</v>
          </cell>
          <cell r="D42">
            <v>1191</v>
          </cell>
        </row>
        <row r="43">
          <cell r="C43" t="str">
            <v>신방화역환승주차장</v>
          </cell>
          <cell r="D43">
            <v>2380</v>
          </cell>
        </row>
        <row r="44">
          <cell r="C44" t="str">
            <v>서원동주민센터</v>
          </cell>
          <cell r="D44">
            <v>2514</v>
          </cell>
        </row>
        <row r="45">
          <cell r="C45" t="str">
            <v>관악청소년회관</v>
          </cell>
          <cell r="D45">
            <v>3261</v>
          </cell>
        </row>
        <row r="46">
          <cell r="C46" t="str">
            <v>인헌동주민센터</v>
          </cell>
          <cell r="D46">
            <v>2973</v>
          </cell>
        </row>
        <row r="47">
          <cell r="C47" t="str">
            <v>남현동 주민센터</v>
          </cell>
          <cell r="D47">
            <v>1867</v>
          </cell>
        </row>
        <row r="48">
          <cell r="C48" t="str">
            <v>청룡동 주민센터</v>
          </cell>
          <cell r="D48">
            <v>1762</v>
          </cell>
        </row>
        <row r="49">
          <cell r="C49" t="str">
            <v>조원동주민센터</v>
          </cell>
          <cell r="D49">
            <v>1506</v>
          </cell>
        </row>
        <row r="50">
          <cell r="C50" t="str">
            <v>신사동자치회관</v>
          </cell>
          <cell r="D50">
            <v>1532</v>
          </cell>
        </row>
        <row r="51">
          <cell r="C51" t="str">
            <v>행운동주민센터</v>
          </cell>
          <cell r="D51">
            <v>3655</v>
          </cell>
        </row>
        <row r="52">
          <cell r="C52" t="str">
            <v>관악구청</v>
          </cell>
          <cell r="D52">
            <v>3236</v>
          </cell>
        </row>
        <row r="53">
          <cell r="C53" t="str">
            <v>신림여성회관</v>
          </cell>
          <cell r="D53">
            <v>1261</v>
          </cell>
        </row>
        <row r="54">
          <cell r="C54" t="str">
            <v>미성체육관</v>
          </cell>
          <cell r="D54">
            <v>542</v>
          </cell>
        </row>
        <row r="55">
          <cell r="C55" t="str">
            <v>신한은행 (구)봉천서 지점</v>
          </cell>
          <cell r="D55">
            <v>1800</v>
          </cell>
        </row>
        <row r="56">
          <cell r="C56" t="str">
            <v>신한은행 신림역</v>
          </cell>
          <cell r="D56">
            <v>1397</v>
          </cell>
        </row>
        <row r="57">
          <cell r="C57" t="str">
            <v>국사봉 체육관</v>
          </cell>
          <cell r="D57">
            <v>92</v>
          </cell>
        </row>
        <row r="58">
          <cell r="C58" t="str">
            <v>구의1동공영주차장</v>
          </cell>
          <cell r="D58">
            <v>701</v>
          </cell>
        </row>
        <row r="59">
          <cell r="C59" t="str">
            <v>구의2동주택가 공동주차장</v>
          </cell>
          <cell r="D59">
            <v>2370</v>
          </cell>
        </row>
        <row r="60">
          <cell r="C60" t="str">
            <v>자양종합사회복지관</v>
          </cell>
          <cell r="D60">
            <v>2301</v>
          </cell>
        </row>
        <row r="61">
          <cell r="C61" t="str">
            <v>중곡문화체육센터</v>
          </cell>
          <cell r="D61">
            <v>1575</v>
          </cell>
        </row>
        <row r="62">
          <cell r="C62" t="str">
            <v>중곡종합건강센터</v>
          </cell>
          <cell r="D62">
            <v>1943</v>
          </cell>
        </row>
        <row r="63">
          <cell r="C63" t="str">
            <v>화양동주민센터</v>
          </cell>
          <cell r="D63">
            <v>1803</v>
          </cell>
        </row>
        <row r="64">
          <cell r="C64" t="str">
            <v>자양4동 주민센터</v>
          </cell>
          <cell r="D64">
            <v>2259</v>
          </cell>
        </row>
        <row r="65">
          <cell r="C65" t="str">
            <v>동부여성발전센터</v>
          </cell>
          <cell r="D65">
            <v>1450</v>
          </cell>
        </row>
        <row r="66">
          <cell r="C66" t="str">
            <v>중곡1동주민센터</v>
          </cell>
          <cell r="D66">
            <v>1175</v>
          </cell>
        </row>
        <row r="67">
          <cell r="C67" t="str">
            <v>광진경찰서</v>
          </cell>
          <cell r="D67">
            <v>1517</v>
          </cell>
        </row>
        <row r="68">
          <cell r="C68" t="str">
            <v>자양2동주민센터</v>
          </cell>
          <cell r="D68">
            <v>744</v>
          </cell>
        </row>
        <row r="69">
          <cell r="C69" t="str">
            <v>자양문화체육센터</v>
          </cell>
          <cell r="D69">
            <v>2165</v>
          </cell>
        </row>
        <row r="70">
          <cell r="C70" t="str">
            <v>군자동주민센터</v>
          </cell>
          <cell r="D70">
            <v>1093</v>
          </cell>
        </row>
        <row r="71">
          <cell r="C71" t="str">
            <v>구로구 시설관리공단</v>
          </cell>
          <cell r="D71">
            <v>582</v>
          </cell>
        </row>
        <row r="72">
          <cell r="C72" t="str">
            <v>서울교통공사대림별관</v>
          </cell>
          <cell r="D72">
            <v>1976</v>
          </cell>
        </row>
        <row r="73">
          <cell r="C73" t="str">
            <v>구로역1번출구 NC백화점</v>
          </cell>
          <cell r="D73">
            <v>2766</v>
          </cell>
        </row>
        <row r="74">
          <cell r="C74" t="str">
            <v>구로구민회관</v>
          </cell>
          <cell r="D74">
            <v>1493</v>
          </cell>
        </row>
        <row r="75">
          <cell r="C75" t="str">
            <v>구로2동주민센터앞</v>
          </cell>
          <cell r="D75">
            <v>1774</v>
          </cell>
        </row>
        <row r="76">
          <cell r="C76" t="str">
            <v>오류1동텃골공영주차장</v>
          </cell>
          <cell r="D76">
            <v>2976</v>
          </cell>
        </row>
        <row r="77">
          <cell r="C77" t="str">
            <v>구로구민체육센터</v>
          </cell>
          <cell r="D77">
            <v>1623</v>
          </cell>
        </row>
        <row r="78">
          <cell r="C78" t="str">
            <v>신한은행 금천점</v>
          </cell>
          <cell r="D78">
            <v>752</v>
          </cell>
        </row>
        <row r="79">
          <cell r="C79" t="str">
            <v>시흥4동 주민센터</v>
          </cell>
          <cell r="D79">
            <v>1568</v>
          </cell>
        </row>
        <row r="80">
          <cell r="C80" t="str">
            <v>금천호암노인복지관</v>
          </cell>
          <cell r="D80">
            <v>151</v>
          </cell>
        </row>
        <row r="81">
          <cell r="C81" t="str">
            <v>시흥3동 주민센터</v>
          </cell>
          <cell r="D81">
            <v>1728</v>
          </cell>
        </row>
        <row r="82">
          <cell r="C82" t="str">
            <v>독산1동주민센터</v>
          </cell>
          <cell r="D82">
            <v>2014</v>
          </cell>
        </row>
        <row r="83">
          <cell r="C83" t="str">
            <v>금천구청</v>
          </cell>
          <cell r="D83">
            <v>1884</v>
          </cell>
        </row>
        <row r="84">
          <cell r="C84" t="str">
            <v>독산2동주민센터</v>
          </cell>
          <cell r="D84">
            <v>1218</v>
          </cell>
        </row>
        <row r="85">
          <cell r="C85" t="str">
            <v>상계2동주민센터</v>
          </cell>
          <cell r="D85">
            <v>3481</v>
          </cell>
        </row>
        <row r="86">
          <cell r="C86" t="str">
            <v>상계3,4동 주민센터</v>
          </cell>
          <cell r="D86">
            <v>579</v>
          </cell>
        </row>
        <row r="87">
          <cell r="C87" t="str">
            <v>상계역 자전거대여소</v>
          </cell>
          <cell r="D87">
            <v>5848</v>
          </cell>
        </row>
        <row r="88">
          <cell r="C88" t="str">
            <v>공릉 청소년문화정보센터</v>
          </cell>
          <cell r="D88">
            <v>2799</v>
          </cell>
        </row>
        <row r="89">
          <cell r="C89" t="str">
            <v>공릉1동 주민센터(노원)</v>
          </cell>
          <cell r="D89">
            <v>2831</v>
          </cell>
        </row>
        <row r="90">
          <cell r="C90" t="str">
            <v>공릉종합사회복지관</v>
          </cell>
          <cell r="D90">
            <v>1046</v>
          </cell>
        </row>
        <row r="91">
          <cell r="C91" t="str">
            <v>상계문화정보도서관</v>
          </cell>
          <cell r="D91">
            <v>1346</v>
          </cell>
        </row>
        <row r="92">
          <cell r="C92" t="str">
            <v>도봉구민회관</v>
          </cell>
          <cell r="D92">
            <v>4569</v>
          </cell>
        </row>
        <row r="93">
          <cell r="C93" t="str">
            <v>도봉서원종합사회복지관</v>
          </cell>
          <cell r="D93">
            <v>1679</v>
          </cell>
        </row>
        <row r="94">
          <cell r="C94" t="str">
            <v>방아골종합사회복지관</v>
          </cell>
          <cell r="D94">
            <v>1237</v>
          </cell>
        </row>
        <row r="95">
          <cell r="C95" t="str">
            <v>도봉1동주민센터</v>
          </cell>
          <cell r="D95">
            <v>1992</v>
          </cell>
        </row>
        <row r="96">
          <cell r="C96" t="str">
            <v>창2동 신창교회</v>
          </cell>
          <cell r="D96">
            <v>1882</v>
          </cell>
        </row>
        <row r="97">
          <cell r="C97" t="str">
            <v>염광교회</v>
          </cell>
          <cell r="D97">
            <v>1474</v>
          </cell>
        </row>
        <row r="98">
          <cell r="C98" t="str">
            <v>창3동 주민센터</v>
          </cell>
          <cell r="D98">
            <v>1259</v>
          </cell>
        </row>
        <row r="99">
          <cell r="C99" t="str">
            <v>이문체육문화센터</v>
          </cell>
          <cell r="D99">
            <v>853</v>
          </cell>
        </row>
        <row r="100">
          <cell r="C100" t="str">
            <v>장안2동 공영주차장</v>
          </cell>
          <cell r="D100">
            <v>2030</v>
          </cell>
        </row>
        <row r="101">
          <cell r="C101" t="str">
            <v>동대문구청 종합민원실</v>
          </cell>
          <cell r="D101">
            <v>4195</v>
          </cell>
        </row>
        <row r="102">
          <cell r="C102" t="str">
            <v>회기동공영주차장</v>
          </cell>
          <cell r="D102">
            <v>1397</v>
          </cell>
        </row>
        <row r="103">
          <cell r="C103" t="str">
            <v>답십리도서관</v>
          </cell>
          <cell r="D103">
            <v>3229</v>
          </cell>
        </row>
        <row r="104">
          <cell r="C104" t="str">
            <v>정보화도서관</v>
          </cell>
          <cell r="D104">
            <v>916</v>
          </cell>
        </row>
        <row r="105">
          <cell r="C105" t="str">
            <v>장안종합사회복지관</v>
          </cell>
          <cell r="D105">
            <v>1889</v>
          </cell>
        </row>
        <row r="106">
          <cell r="C106" t="str">
            <v>답십리2청소년독서실</v>
          </cell>
          <cell r="D106">
            <v>970</v>
          </cell>
        </row>
        <row r="107">
          <cell r="C107" t="str">
            <v>휘경동공영주차장</v>
          </cell>
          <cell r="D107">
            <v>856</v>
          </cell>
        </row>
        <row r="108">
          <cell r="C108" t="str">
            <v>신한은행 외대역 지점</v>
          </cell>
          <cell r="D108">
            <v>1149</v>
          </cell>
        </row>
        <row r="109">
          <cell r="C109" t="str">
            <v>순만빌딩</v>
          </cell>
          <cell r="D109">
            <v>2585</v>
          </cell>
        </row>
        <row r="110">
          <cell r="C110" t="str">
            <v>사당문화회관</v>
          </cell>
          <cell r="D110">
            <v>2266</v>
          </cell>
        </row>
        <row r="111">
          <cell r="C111" t="str">
            <v>상도1동주민센터</v>
          </cell>
          <cell r="D111">
            <v>2860</v>
          </cell>
        </row>
        <row r="112">
          <cell r="C112" t="str">
            <v>예그리나주택</v>
          </cell>
          <cell r="D112">
            <v>238</v>
          </cell>
        </row>
        <row r="113">
          <cell r="C113" t="str">
            <v>강남교회 교육관</v>
          </cell>
          <cell r="D113">
            <v>1183</v>
          </cell>
        </row>
        <row r="114">
          <cell r="C114" t="str">
            <v>동작청소년센터</v>
          </cell>
          <cell r="D114">
            <v>756</v>
          </cell>
        </row>
        <row r="115">
          <cell r="C115" t="str">
            <v>kb국민은행 동작구청지점</v>
          </cell>
          <cell r="D115">
            <v>4000</v>
          </cell>
        </row>
        <row r="116">
          <cell r="C116" t="str">
            <v>사당노인종합복지관</v>
          </cell>
          <cell r="D116">
            <v>2018</v>
          </cell>
        </row>
        <row r="117">
          <cell r="C117" t="str">
            <v>스페이스살림</v>
          </cell>
          <cell r="D117">
            <v>2379</v>
          </cell>
        </row>
        <row r="118">
          <cell r="C118" t="str">
            <v>상도3동 주민센터</v>
          </cell>
          <cell r="D118">
            <v>4401</v>
          </cell>
        </row>
        <row r="119">
          <cell r="C119" t="str">
            <v>신대방해피점</v>
          </cell>
          <cell r="D119">
            <v>670</v>
          </cell>
        </row>
        <row r="120">
          <cell r="C120" t="str">
            <v>현대오일뱅크_사당셀프주유소</v>
          </cell>
          <cell r="D120">
            <v>1833</v>
          </cell>
        </row>
        <row r="121">
          <cell r="C121" t="str">
            <v>신한은행 숭실대역 지점</v>
          </cell>
          <cell r="D121">
            <v>562</v>
          </cell>
        </row>
        <row r="122">
          <cell r="C122" t="str">
            <v>사당종합체육관</v>
          </cell>
          <cell r="D122">
            <v>308</v>
          </cell>
        </row>
        <row r="123">
          <cell r="C123" t="str">
            <v>동교치안센터</v>
          </cell>
          <cell r="D123">
            <v>1104</v>
          </cell>
        </row>
        <row r="124">
          <cell r="C124" t="str">
            <v>서현교회</v>
          </cell>
          <cell r="D124">
            <v>2864</v>
          </cell>
        </row>
        <row r="125">
          <cell r="C125" t="str">
            <v>서강동주민센터</v>
          </cell>
          <cell r="D125">
            <v>614</v>
          </cell>
        </row>
        <row r="126">
          <cell r="C126" t="str">
            <v>성산1동주민센터</v>
          </cell>
          <cell r="D126">
            <v>339</v>
          </cell>
        </row>
        <row r="127">
          <cell r="C127" t="str">
            <v>망원2동 치안센터</v>
          </cell>
          <cell r="D127">
            <v>1800</v>
          </cell>
        </row>
        <row r="128">
          <cell r="C128" t="str">
            <v>신수동주민센터</v>
          </cell>
          <cell r="D128">
            <v>2023</v>
          </cell>
        </row>
        <row r="129">
          <cell r="C129" t="str">
            <v>성산2동주민센터</v>
          </cell>
          <cell r="D129">
            <v>2151</v>
          </cell>
        </row>
        <row r="130">
          <cell r="C130" t="str">
            <v>연남동희망원룸주택</v>
          </cell>
          <cell r="D130">
            <v>1230</v>
          </cell>
        </row>
        <row r="131">
          <cell r="C131" t="str">
            <v>상암동 제1공영주차장</v>
          </cell>
          <cell r="D131">
            <v>3311</v>
          </cell>
        </row>
        <row r="132">
          <cell r="C132" t="str">
            <v>마포아트센터</v>
          </cell>
          <cell r="D132">
            <v>2294</v>
          </cell>
        </row>
        <row r="133">
          <cell r="C133" t="str">
            <v>대흥동주민센터</v>
          </cell>
          <cell r="D133">
            <v>2895</v>
          </cell>
        </row>
        <row r="134">
          <cell r="C134" t="str">
            <v>연남동 주민커뮤니티센터</v>
          </cell>
          <cell r="D134">
            <v>3036</v>
          </cell>
        </row>
        <row r="135">
          <cell r="C135" t="str">
            <v>도화동 주민센터</v>
          </cell>
          <cell r="D135">
            <v>4510</v>
          </cell>
        </row>
        <row r="136">
          <cell r="C136" t="str">
            <v>서교동교회</v>
          </cell>
          <cell r="D136">
            <v>555</v>
          </cell>
        </row>
        <row r="137">
          <cell r="C137" t="str">
            <v>상암동주민센터후문</v>
          </cell>
          <cell r="D137">
            <v>780</v>
          </cell>
        </row>
        <row r="138">
          <cell r="C138" t="str">
            <v>홍제3동 주민센터</v>
          </cell>
          <cell r="D138">
            <v>1407</v>
          </cell>
        </row>
        <row r="139">
          <cell r="C139" t="str">
            <v>홍은2동 주민센터</v>
          </cell>
          <cell r="D139">
            <v>1557</v>
          </cell>
        </row>
        <row r="140">
          <cell r="C140" t="str">
            <v>연희동주민센터</v>
          </cell>
          <cell r="D140">
            <v>834</v>
          </cell>
        </row>
        <row r="141">
          <cell r="C141" t="str">
            <v>홍은1동주민센터</v>
          </cell>
          <cell r="D141">
            <v>1512</v>
          </cell>
        </row>
        <row r="142">
          <cell r="C142" t="str">
            <v>신한은행_연희동점</v>
          </cell>
          <cell r="D142">
            <v>611</v>
          </cell>
        </row>
        <row r="143">
          <cell r="C143" t="str">
            <v>봉원교회 북카페 옆</v>
          </cell>
          <cell r="D143">
            <v>725</v>
          </cell>
        </row>
        <row r="144">
          <cell r="C144" t="str">
            <v>북아현동 주민센터</v>
          </cell>
          <cell r="D144">
            <v>4701</v>
          </cell>
        </row>
        <row r="145">
          <cell r="C145" t="str">
            <v>충현동주민센터</v>
          </cell>
          <cell r="D145">
            <v>1369</v>
          </cell>
        </row>
        <row r="146">
          <cell r="C146" t="str">
            <v>청년누리</v>
          </cell>
          <cell r="D146">
            <v>2132</v>
          </cell>
        </row>
        <row r="147">
          <cell r="C147" t="str">
            <v>신한은행 명지대 지점</v>
          </cell>
          <cell r="D147">
            <v>1572</v>
          </cell>
        </row>
        <row r="148">
          <cell r="C148" t="str">
            <v>남가좌2동 제2공영주차장</v>
          </cell>
          <cell r="D148">
            <v>670</v>
          </cell>
        </row>
        <row r="149">
          <cell r="C149" t="str">
            <v>신한은행_남가좌동점</v>
          </cell>
          <cell r="D149">
            <v>721</v>
          </cell>
        </row>
        <row r="150">
          <cell r="C150" t="str">
            <v>양재2동주민센터</v>
          </cell>
          <cell r="D150">
            <v>2743</v>
          </cell>
        </row>
        <row r="151">
          <cell r="C151" t="str">
            <v>언구비 공영주차장</v>
          </cell>
          <cell r="D151">
            <v>3017</v>
          </cell>
        </row>
        <row r="152">
          <cell r="C152" t="str">
            <v>방배열린문화센터</v>
          </cell>
          <cell r="D152">
            <v>4224</v>
          </cell>
        </row>
        <row r="153">
          <cell r="C153" t="str">
            <v>방배2동 주민센터</v>
          </cell>
          <cell r="D153">
            <v>1636</v>
          </cell>
        </row>
        <row r="154">
          <cell r="C154" t="str">
            <v>서초꿈나무라이온스 보금자리</v>
          </cell>
          <cell r="D154">
            <v>919</v>
          </cell>
        </row>
        <row r="155">
          <cell r="C155" t="str">
            <v>양재공영주차장</v>
          </cell>
          <cell r="D155">
            <v>228</v>
          </cell>
        </row>
        <row r="156">
          <cell r="C156" t="str">
            <v>양재1동민원분소</v>
          </cell>
          <cell r="D156">
            <v>1545</v>
          </cell>
        </row>
        <row r="157">
          <cell r="C157" t="str">
            <v>성동구민종합체육센터</v>
          </cell>
          <cell r="D157">
            <v>1720</v>
          </cell>
        </row>
        <row r="158">
          <cell r="C158" t="str">
            <v>성동구립도서관</v>
          </cell>
          <cell r="D158">
            <v>5110</v>
          </cell>
        </row>
        <row r="159">
          <cell r="C159" t="str">
            <v>왕십리2동주민센터</v>
          </cell>
          <cell r="D159">
            <v>624</v>
          </cell>
        </row>
        <row r="160">
          <cell r="C160" t="str">
            <v>사근동주민센터</v>
          </cell>
          <cell r="D160">
            <v>673</v>
          </cell>
        </row>
        <row r="161">
          <cell r="C161" t="str">
            <v>열린금호교육문화관</v>
          </cell>
          <cell r="D161">
            <v>1472</v>
          </cell>
        </row>
        <row r="162">
          <cell r="C162" t="str">
            <v>하왕십리공영주차장</v>
          </cell>
          <cell r="D162">
            <v>801</v>
          </cell>
        </row>
        <row r="163">
          <cell r="C163" t="str">
            <v>성수2가3동 공영주차장</v>
          </cell>
          <cell r="D163">
            <v>533</v>
          </cell>
        </row>
        <row r="164">
          <cell r="C164" t="str">
            <v>응봉동 공영주차장</v>
          </cell>
          <cell r="D164">
            <v>15</v>
          </cell>
        </row>
        <row r="165">
          <cell r="C165" t="str">
            <v>성북희망나눔봉사센터</v>
          </cell>
          <cell r="D165">
            <v>2978</v>
          </cell>
        </row>
        <row r="166">
          <cell r="C166" t="str">
            <v>안암교회</v>
          </cell>
          <cell r="D166">
            <v>1456</v>
          </cell>
        </row>
        <row r="167">
          <cell r="C167" t="str">
            <v>성북정릉감리교회</v>
          </cell>
          <cell r="D167">
            <v>129</v>
          </cell>
        </row>
        <row r="168">
          <cell r="C168" t="str">
            <v>제일빌딩</v>
          </cell>
          <cell r="D168">
            <v>906</v>
          </cell>
        </row>
        <row r="169">
          <cell r="C169" t="str">
            <v>아리랑 시네미디어센터</v>
          </cell>
          <cell r="D169">
            <v>3305</v>
          </cell>
        </row>
        <row r="170">
          <cell r="C170" t="str">
            <v>장위1동 주민센터</v>
          </cell>
          <cell r="D170">
            <v>3676</v>
          </cell>
        </row>
        <row r="171">
          <cell r="C171" t="str">
            <v>석관동주민센터</v>
          </cell>
          <cell r="D171">
            <v>2125</v>
          </cell>
        </row>
        <row r="172">
          <cell r="C172" t="str">
            <v>보문부모아이지원센터</v>
          </cell>
          <cell r="D172">
            <v>935</v>
          </cell>
        </row>
        <row r="173">
          <cell r="C173" t="str">
            <v>삼전지구대</v>
          </cell>
          <cell r="D173">
            <v>886</v>
          </cell>
        </row>
        <row r="174">
          <cell r="C174" t="str">
            <v>가락2동치안센터</v>
          </cell>
          <cell r="D174">
            <v>810</v>
          </cell>
        </row>
        <row r="175">
          <cell r="C175" t="str">
            <v>장지동 주민센터</v>
          </cell>
          <cell r="D175">
            <v>1552</v>
          </cell>
        </row>
        <row r="176">
          <cell r="C176" t="str">
            <v>거여2동주민센터</v>
          </cell>
          <cell r="D176">
            <v>3420</v>
          </cell>
        </row>
        <row r="177">
          <cell r="C177" t="str">
            <v>마천2동주민센터</v>
          </cell>
          <cell r="D177">
            <v>3180</v>
          </cell>
        </row>
        <row r="178">
          <cell r="C178" t="str">
            <v>석촌동주민센터</v>
          </cell>
          <cell r="D178">
            <v>4161</v>
          </cell>
        </row>
        <row r="179">
          <cell r="C179" t="str">
            <v>송파노인종합복지관</v>
          </cell>
          <cell r="D179">
            <v>3140</v>
          </cell>
        </row>
        <row r="180">
          <cell r="C180" t="str">
            <v>여의도 순복음송파교회</v>
          </cell>
          <cell r="D180">
            <v>3272</v>
          </cell>
        </row>
        <row r="181">
          <cell r="C181" t="str">
            <v>송파여성 문화회관</v>
          </cell>
          <cell r="D181">
            <v>7040</v>
          </cell>
        </row>
        <row r="182">
          <cell r="C182" t="str">
            <v>거여1동주민센터</v>
          </cell>
          <cell r="D182">
            <v>1192</v>
          </cell>
        </row>
        <row r="183">
          <cell r="C183" t="str">
            <v>문정1동 주민센터</v>
          </cell>
          <cell r="D183">
            <v>2891</v>
          </cell>
        </row>
        <row r="184">
          <cell r="C184" t="str">
            <v>양천나눔누리센터</v>
          </cell>
          <cell r="D184">
            <v>5032</v>
          </cell>
        </row>
        <row r="185">
          <cell r="C185" t="str">
            <v>목동실버복지문화센터</v>
          </cell>
          <cell r="D185">
            <v>3043</v>
          </cell>
        </row>
        <row r="186">
          <cell r="C186" t="str">
            <v>신월3동주민센터</v>
          </cell>
          <cell r="D186">
            <v>2347</v>
          </cell>
        </row>
        <row r="187">
          <cell r="C187" t="str">
            <v>신정4동주민센터</v>
          </cell>
          <cell r="D187">
            <v>3076</v>
          </cell>
        </row>
        <row r="188">
          <cell r="C188" t="str">
            <v>목동문화체육센터</v>
          </cell>
          <cell r="D188">
            <v>2330</v>
          </cell>
        </row>
        <row r="189">
          <cell r="C189" t="str">
            <v>신월문화체육센터</v>
          </cell>
          <cell r="D189">
            <v>1711</v>
          </cell>
        </row>
        <row r="190">
          <cell r="C190" t="str">
            <v>신월5동주민센터</v>
          </cell>
          <cell r="D190">
            <v>1104</v>
          </cell>
        </row>
        <row r="191">
          <cell r="C191" t="str">
            <v>신월4동주민센터</v>
          </cell>
          <cell r="D191">
            <v>1530</v>
          </cell>
        </row>
        <row r="192">
          <cell r="C192" t="str">
            <v>목3동 주민센터</v>
          </cell>
          <cell r="D192">
            <v>2012</v>
          </cell>
        </row>
        <row r="193">
          <cell r="C193" t="str">
            <v>목동보건지소</v>
          </cell>
          <cell r="D193">
            <v>1136</v>
          </cell>
        </row>
        <row r="194">
          <cell r="C194" t="str">
            <v>영등포 평생학습관</v>
          </cell>
          <cell r="D194">
            <v>1859</v>
          </cell>
        </row>
        <row r="195">
          <cell r="C195" t="str">
            <v>영등포본동주민센터</v>
          </cell>
          <cell r="D195">
            <v>3650</v>
          </cell>
        </row>
        <row r="196">
          <cell r="C196" t="str">
            <v>신길4동1동1마을공영주차장</v>
          </cell>
          <cell r="D196">
            <v>1762</v>
          </cell>
        </row>
        <row r="197">
          <cell r="C197" t="str">
            <v>신길7동 주민센터</v>
          </cell>
          <cell r="D197">
            <v>2366</v>
          </cell>
        </row>
        <row r="198">
          <cell r="C198" t="str">
            <v>도림동 주민센터</v>
          </cell>
          <cell r="D198">
            <v>1329</v>
          </cell>
        </row>
        <row r="199">
          <cell r="C199" t="str">
            <v>다사랑어린이공원(경로당)</v>
          </cell>
          <cell r="D199">
            <v>356</v>
          </cell>
        </row>
        <row r="200">
          <cell r="C200" t="str">
            <v>신길1동 주민센터</v>
          </cell>
          <cell r="D200">
            <v>2812</v>
          </cell>
        </row>
        <row r="201">
          <cell r="C201" t="str">
            <v>대림도서관</v>
          </cell>
          <cell r="D201">
            <v>2030</v>
          </cell>
        </row>
        <row r="202">
          <cell r="C202" t="str">
            <v>영등포 제1스포츠센터</v>
          </cell>
          <cell r="D202">
            <v>1200</v>
          </cell>
        </row>
        <row r="203">
          <cell r="C203" t="str">
            <v>그린케어센터</v>
          </cell>
          <cell r="D203">
            <v>3460</v>
          </cell>
        </row>
        <row r="204">
          <cell r="C204" t="str">
            <v>신길6동복지관</v>
          </cell>
          <cell r="D204">
            <v>1517</v>
          </cell>
        </row>
        <row r="205">
          <cell r="C205" t="str">
            <v>용산치안센터(2가동주민센터)</v>
          </cell>
          <cell r="D205">
            <v>1698</v>
          </cell>
        </row>
        <row r="206">
          <cell r="C206" t="str">
            <v>효창동주민센터</v>
          </cell>
          <cell r="D206">
            <v>1140</v>
          </cell>
        </row>
        <row r="207">
          <cell r="C207" t="str">
            <v>한남동공영주차장</v>
          </cell>
          <cell r="D207">
            <v>1578</v>
          </cell>
        </row>
        <row r="208">
          <cell r="C208" t="str">
            <v>용산구청후문</v>
          </cell>
          <cell r="D208">
            <v>2060</v>
          </cell>
        </row>
        <row r="209">
          <cell r="C209" t="str">
            <v>갈월종합사회복지관</v>
          </cell>
          <cell r="D209">
            <v>3617</v>
          </cell>
        </row>
        <row r="210">
          <cell r="C210" t="str">
            <v>용산꿈나무종합타운</v>
          </cell>
          <cell r="D210">
            <v>1945</v>
          </cell>
        </row>
        <row r="211">
          <cell r="C211" t="str">
            <v>보광동주민센터</v>
          </cell>
          <cell r="D211">
            <v>422</v>
          </cell>
        </row>
        <row r="212">
          <cell r="C212" t="str">
            <v>숙대 명재관 인근</v>
          </cell>
          <cell r="D212">
            <v>2398</v>
          </cell>
        </row>
        <row r="213">
          <cell r="C213" t="str">
            <v>갈현청소년센터쉼쉼</v>
          </cell>
          <cell r="D213">
            <v>591</v>
          </cell>
        </row>
        <row r="214">
          <cell r="C214" t="str">
            <v>불광1동 치안센터</v>
          </cell>
          <cell r="D214">
            <v>4459</v>
          </cell>
        </row>
        <row r="215">
          <cell r="C215" t="str">
            <v xml:space="preserve">청년취업사관학교 은평캠퍼스 </v>
          </cell>
          <cell r="D215">
            <v>4014</v>
          </cell>
        </row>
        <row r="216">
          <cell r="C216" t="str">
            <v>갈현1동 주민센터</v>
          </cell>
          <cell r="D216">
            <v>2207</v>
          </cell>
        </row>
        <row r="217">
          <cell r="C217" t="str">
            <v>역촌동 주민센터</v>
          </cell>
          <cell r="D217">
            <v>3732</v>
          </cell>
        </row>
        <row r="218">
          <cell r="C218" t="str">
            <v>연신내 지구대</v>
          </cell>
          <cell r="D218">
            <v>2517</v>
          </cell>
        </row>
        <row r="219">
          <cell r="C219" t="str">
            <v>구산동주민센터</v>
          </cell>
          <cell r="D219">
            <v>1950</v>
          </cell>
        </row>
        <row r="220">
          <cell r="C220" t="str">
            <v>신사종합사회복지관</v>
          </cell>
          <cell r="D220">
            <v>4658</v>
          </cell>
        </row>
        <row r="221">
          <cell r="C221" t="str">
            <v>청운효자동 자치회관</v>
          </cell>
          <cell r="D221">
            <v>2045</v>
          </cell>
        </row>
        <row r="222">
          <cell r="C222" t="str">
            <v>종로육아종합지원센터</v>
          </cell>
          <cell r="D222">
            <v>2733</v>
          </cell>
        </row>
        <row r="223">
          <cell r="C223" t="str">
            <v>숭인1동 주민센터</v>
          </cell>
          <cell r="D223">
            <v>2230</v>
          </cell>
        </row>
        <row r="224">
          <cell r="C224" t="str">
            <v>종로구민회관</v>
          </cell>
          <cell r="D224">
            <v>856</v>
          </cell>
        </row>
        <row r="225">
          <cell r="C225" t="str">
            <v>숭인제2동주민센터</v>
          </cell>
          <cell r="D225">
            <v>529</v>
          </cell>
        </row>
        <row r="226">
          <cell r="C226" t="str">
            <v>버티 공영주차장</v>
          </cell>
          <cell r="D226">
            <v>1647</v>
          </cell>
        </row>
        <row r="227">
          <cell r="C227" t="str">
            <v>장충체육관 후문</v>
          </cell>
          <cell r="D227">
            <v>2076</v>
          </cell>
        </row>
        <row r="228">
          <cell r="C228" t="str">
            <v>충무창업큐브</v>
          </cell>
          <cell r="D228">
            <v>171</v>
          </cell>
        </row>
        <row r="229">
          <cell r="C229" t="str">
            <v>면목4동주민센터</v>
          </cell>
          <cell r="D229">
            <v>1709</v>
          </cell>
        </row>
        <row r="230">
          <cell r="C230" t="str">
            <v>면목5동 주민센터</v>
          </cell>
          <cell r="D230">
            <v>1970</v>
          </cell>
        </row>
        <row r="231">
          <cell r="C231" t="str">
            <v>면목본동 주민센터</v>
          </cell>
          <cell r="D231">
            <v>4838</v>
          </cell>
        </row>
        <row r="232">
          <cell r="C232" t="str">
            <v>상봉2동주민센터</v>
          </cell>
          <cell r="D232">
            <v>1405</v>
          </cell>
        </row>
        <row r="233">
          <cell r="C233" t="str">
            <v>상봉1동주민센터</v>
          </cell>
          <cell r="D233">
            <v>2218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(26년)"/>
      <sheetName val="1월"/>
      <sheetName val="2월"/>
      <sheetName val="3월"/>
      <sheetName val="4월"/>
      <sheetName val="5월"/>
      <sheetName val="6월"/>
    </sheetNames>
    <sheetDataSet>
      <sheetData sheetId="0">
        <row r="5">
          <cell r="C5" t="str">
            <v>대치2동 주민센터</v>
          </cell>
          <cell r="D5">
            <v>1736</v>
          </cell>
        </row>
        <row r="6">
          <cell r="C6" t="str">
            <v>도곡1동 주민센터</v>
          </cell>
          <cell r="D6">
            <v>448</v>
          </cell>
        </row>
        <row r="7">
          <cell r="C7" t="str">
            <v>논현1동주민센터</v>
          </cell>
          <cell r="D7">
            <v>1412</v>
          </cell>
        </row>
        <row r="8">
          <cell r="C8" t="str">
            <v>대치4동 주민센터</v>
          </cell>
          <cell r="D8">
            <v>5481</v>
          </cell>
        </row>
        <row r="9">
          <cell r="C9" t="str">
            <v>도곡2동주민센터</v>
          </cell>
          <cell r="D9">
            <v>1874</v>
          </cell>
        </row>
        <row r="10">
          <cell r="C10" t="str">
            <v>역삼청소년수련관</v>
          </cell>
          <cell r="D10">
            <v>458</v>
          </cell>
        </row>
        <row r="11">
          <cell r="C11" t="str">
            <v>역삼1동 주민센터</v>
          </cell>
          <cell r="D11">
            <v>1633</v>
          </cell>
        </row>
        <row r="12">
          <cell r="C12" t="str">
            <v>둔촌역전통시장공영주차장</v>
          </cell>
          <cell r="D12">
            <v>435</v>
          </cell>
        </row>
        <row r="13">
          <cell r="C13" t="str">
            <v>강일동주민센터</v>
          </cell>
          <cell r="D13">
            <v>4</v>
          </cell>
        </row>
        <row r="14">
          <cell r="C14" t="str">
            <v>성내1동 주민센터</v>
          </cell>
          <cell r="D14">
            <v>1821</v>
          </cell>
        </row>
        <row r="15">
          <cell r="C15" t="str">
            <v>암사2동 주민센터</v>
          </cell>
          <cell r="D15">
            <v>1031</v>
          </cell>
        </row>
        <row r="16">
          <cell r="C16" t="str">
            <v>강동구민회관</v>
          </cell>
          <cell r="D16">
            <v>1809</v>
          </cell>
        </row>
        <row r="17">
          <cell r="C17" t="str">
            <v>강동구립암사도서관</v>
          </cell>
          <cell r="D17">
            <v>116</v>
          </cell>
        </row>
        <row r="18">
          <cell r="C18" t="str">
            <v>길동주민센터</v>
          </cell>
          <cell r="D18">
            <v>626</v>
          </cell>
        </row>
        <row r="19">
          <cell r="C19" t="str">
            <v>강동구립해공도서관</v>
          </cell>
          <cell r="D19">
            <v>793</v>
          </cell>
        </row>
        <row r="20">
          <cell r="C20" t="str">
            <v>구립안말경로당</v>
          </cell>
          <cell r="D20">
            <v>61</v>
          </cell>
        </row>
        <row r="21">
          <cell r="C21" t="str">
            <v>강동구 평생학습관(명일동 공영주차장)</v>
          </cell>
          <cell r="D21">
            <v>1143</v>
          </cell>
        </row>
        <row r="22">
          <cell r="C22" t="str">
            <v>천호 청소년 문화의집</v>
          </cell>
          <cell r="D22">
            <v>216</v>
          </cell>
        </row>
        <row r="23">
          <cell r="C23" t="str">
            <v>미아사거리역 1번출구</v>
          </cell>
          <cell r="D23">
            <v>2140</v>
          </cell>
        </row>
        <row r="24">
          <cell r="C24" t="str">
            <v>솔밭근린공원 개방화장실</v>
          </cell>
          <cell r="D24">
            <v>1406</v>
          </cell>
        </row>
        <row r="25">
          <cell r="C25" t="str">
            <v>번동북부시장 북부마트</v>
          </cell>
          <cell r="D25">
            <v>511</v>
          </cell>
        </row>
        <row r="26">
          <cell r="C26" t="str">
            <v>수유역1번출구</v>
          </cell>
          <cell r="D26">
            <v>2297</v>
          </cell>
        </row>
        <row r="27">
          <cell r="C27" t="str">
            <v>미아동 복합청사</v>
          </cell>
          <cell r="D27">
            <v>1487</v>
          </cell>
        </row>
        <row r="28">
          <cell r="C28" t="str">
            <v>수유1동 주민센터</v>
          </cell>
          <cell r="D28">
            <v>1360</v>
          </cell>
        </row>
        <row r="29">
          <cell r="C29" t="str">
            <v>화곡8동 주민센터</v>
          </cell>
          <cell r="D29">
            <v>1125</v>
          </cell>
        </row>
        <row r="30">
          <cell r="C30" t="str">
            <v>가로공원공영주차장1번출구</v>
          </cell>
          <cell r="D30">
            <v>789</v>
          </cell>
        </row>
        <row r="31">
          <cell r="C31" t="str">
            <v>화곡 6-1 공영주차장</v>
          </cell>
          <cell r="D31">
            <v>772</v>
          </cell>
        </row>
        <row r="32">
          <cell r="C32" t="str">
            <v>화곡 3-1 공영주차장</v>
          </cell>
          <cell r="D32">
            <v>873</v>
          </cell>
        </row>
        <row r="33">
          <cell r="C33" t="str">
            <v>화곡 1-1 공영주차장</v>
          </cell>
          <cell r="D33">
            <v>620</v>
          </cell>
        </row>
        <row r="34">
          <cell r="C34" t="str">
            <v>내발산동 문화센터</v>
          </cell>
          <cell r="D34">
            <v>1456</v>
          </cell>
        </row>
        <row r="35">
          <cell r="C35" t="str">
            <v>곰달래복지문화센터</v>
          </cell>
          <cell r="D35">
            <v>983</v>
          </cell>
        </row>
        <row r="36">
          <cell r="C36" t="str">
            <v>화곡4동 주민센터</v>
          </cell>
          <cell r="D36">
            <v>1282</v>
          </cell>
        </row>
        <row r="37">
          <cell r="C37" t="str">
            <v>볏골공원공영주차장</v>
          </cell>
          <cell r="D37">
            <v>2939</v>
          </cell>
        </row>
        <row r="38">
          <cell r="C38" t="str">
            <v>공항동 주민센터</v>
          </cell>
          <cell r="D38">
            <v>721</v>
          </cell>
        </row>
        <row r="39">
          <cell r="C39" t="str">
            <v>발산1동주민센터</v>
          </cell>
          <cell r="D39">
            <v>896</v>
          </cell>
        </row>
        <row r="40">
          <cell r="C40" t="str">
            <v>화곡2동주민센터</v>
          </cell>
          <cell r="D40">
            <v>181</v>
          </cell>
        </row>
        <row r="41">
          <cell r="C41" t="str">
            <v>길꽃어린이도서관</v>
          </cell>
          <cell r="D41">
            <v>469</v>
          </cell>
        </row>
        <row r="42">
          <cell r="C42" t="str">
            <v>신방화역환승주차장</v>
          </cell>
          <cell r="D42">
            <v>1118</v>
          </cell>
        </row>
        <row r="43">
          <cell r="C43" t="str">
            <v>서원동주민센터</v>
          </cell>
          <cell r="D43">
            <v>1011</v>
          </cell>
        </row>
        <row r="44">
          <cell r="C44" t="str">
            <v>관악청소년회관</v>
          </cell>
          <cell r="D44">
            <v>1472</v>
          </cell>
        </row>
        <row r="45">
          <cell r="C45" t="str">
            <v>인헌동주민센터</v>
          </cell>
          <cell r="D45">
            <v>2317</v>
          </cell>
        </row>
        <row r="46">
          <cell r="C46" t="str">
            <v>남현동 주민센터</v>
          </cell>
          <cell r="D46">
            <v>661</v>
          </cell>
        </row>
        <row r="47">
          <cell r="C47" t="str">
            <v>청룡동 주민센터</v>
          </cell>
          <cell r="D47">
            <v>592</v>
          </cell>
        </row>
        <row r="48">
          <cell r="C48" t="str">
            <v>조원동주민센터</v>
          </cell>
          <cell r="D48">
            <v>633</v>
          </cell>
        </row>
        <row r="49">
          <cell r="C49" t="str">
            <v>신사동자치회관</v>
          </cell>
          <cell r="D49">
            <v>734</v>
          </cell>
        </row>
        <row r="50">
          <cell r="C50" t="str">
            <v>행운동주민센터</v>
          </cell>
          <cell r="D50">
            <v>1985</v>
          </cell>
        </row>
        <row r="51">
          <cell r="C51" t="str">
            <v>관악구청</v>
          </cell>
          <cell r="D51">
            <v>1913</v>
          </cell>
        </row>
        <row r="52">
          <cell r="C52" t="str">
            <v>신림여성회관</v>
          </cell>
          <cell r="D52">
            <v>486</v>
          </cell>
        </row>
        <row r="53">
          <cell r="C53" t="str">
            <v>미성체육관</v>
          </cell>
          <cell r="D53">
            <v>231</v>
          </cell>
        </row>
        <row r="54">
          <cell r="C54" t="str">
            <v>신한은행 (구)봉천서 지점</v>
          </cell>
          <cell r="D54">
            <v>709</v>
          </cell>
        </row>
        <row r="55">
          <cell r="C55" t="str">
            <v>국사봉 체육관</v>
          </cell>
          <cell r="D55">
            <v>56</v>
          </cell>
        </row>
        <row r="56">
          <cell r="C56" t="str">
            <v>신한은행 신림역</v>
          </cell>
          <cell r="D56">
            <v>685</v>
          </cell>
        </row>
        <row r="57">
          <cell r="C57" t="str">
            <v>광진경찰서</v>
          </cell>
          <cell r="D57">
            <v>465</v>
          </cell>
        </row>
        <row r="58">
          <cell r="C58" t="str">
            <v>자양2동주민센터</v>
          </cell>
          <cell r="D58">
            <v>303</v>
          </cell>
        </row>
        <row r="59">
          <cell r="C59" t="str">
            <v>구의1동공영주차장</v>
          </cell>
          <cell r="D59">
            <v>1208</v>
          </cell>
        </row>
        <row r="60">
          <cell r="C60" t="str">
            <v>자양문화체육센터</v>
          </cell>
          <cell r="D60">
            <v>975</v>
          </cell>
        </row>
        <row r="61">
          <cell r="C61" t="str">
            <v>군자동주민센터</v>
          </cell>
          <cell r="D61">
            <v>645</v>
          </cell>
        </row>
        <row r="62">
          <cell r="C62" t="str">
            <v>구의2동주택가 공동주차장</v>
          </cell>
          <cell r="D62">
            <v>1196</v>
          </cell>
        </row>
        <row r="63">
          <cell r="C63" t="str">
            <v>자양종합사회복지관</v>
          </cell>
          <cell r="D63">
            <v>1010</v>
          </cell>
        </row>
        <row r="64">
          <cell r="C64" t="str">
            <v>중곡문화체육센터</v>
          </cell>
          <cell r="D64">
            <v>984</v>
          </cell>
        </row>
        <row r="65">
          <cell r="C65" t="str">
            <v>중곡종합건강센터</v>
          </cell>
          <cell r="D65">
            <v>815</v>
          </cell>
        </row>
        <row r="66">
          <cell r="C66" t="str">
            <v>화양동주민센터</v>
          </cell>
          <cell r="D66">
            <v>1021</v>
          </cell>
        </row>
        <row r="67">
          <cell r="C67" t="str">
            <v>자양4동 주민센터</v>
          </cell>
          <cell r="D67">
            <v>737</v>
          </cell>
        </row>
        <row r="68">
          <cell r="C68" t="str">
            <v>동부여성발전센터</v>
          </cell>
          <cell r="D68">
            <v>833</v>
          </cell>
        </row>
        <row r="69">
          <cell r="C69" t="str">
            <v>중곡1동주민센터</v>
          </cell>
          <cell r="D69">
            <v>677</v>
          </cell>
        </row>
        <row r="70">
          <cell r="C70" t="str">
            <v>서울교통공사대림별관</v>
          </cell>
          <cell r="D70">
            <v>1017</v>
          </cell>
        </row>
        <row r="71">
          <cell r="C71" t="str">
            <v>구로역1번출구 NC백화점</v>
          </cell>
          <cell r="D71">
            <v>1302</v>
          </cell>
        </row>
        <row r="72">
          <cell r="C72" t="str">
            <v>구로구민회관</v>
          </cell>
          <cell r="D72">
            <v>641</v>
          </cell>
        </row>
        <row r="73">
          <cell r="C73" t="str">
            <v>구로구민체육센터</v>
          </cell>
          <cell r="D73">
            <v>1081</v>
          </cell>
        </row>
        <row r="74">
          <cell r="C74" t="str">
            <v>구로2동주민센터앞</v>
          </cell>
          <cell r="D74">
            <v>1105</v>
          </cell>
        </row>
        <row r="75">
          <cell r="C75" t="str">
            <v>오류1동텃골공영주차장</v>
          </cell>
          <cell r="D75">
            <v>1571</v>
          </cell>
        </row>
        <row r="76">
          <cell r="C76" t="str">
            <v>신한은행 금천점</v>
          </cell>
          <cell r="D76">
            <v>342</v>
          </cell>
        </row>
        <row r="77">
          <cell r="C77" t="str">
            <v>시흥4동 주민센터</v>
          </cell>
          <cell r="D77">
            <v>285</v>
          </cell>
        </row>
        <row r="78">
          <cell r="C78" t="str">
            <v>시흥3동 주민센터</v>
          </cell>
          <cell r="D78">
            <v>703</v>
          </cell>
        </row>
        <row r="79">
          <cell r="C79" t="str">
            <v>독산1동주민센터</v>
          </cell>
          <cell r="D79">
            <v>1064</v>
          </cell>
        </row>
        <row r="80">
          <cell r="C80" t="str">
            <v>금천구청</v>
          </cell>
          <cell r="D80">
            <v>983</v>
          </cell>
        </row>
        <row r="81">
          <cell r="C81" t="str">
            <v>독산2동주민센터</v>
          </cell>
          <cell r="D81">
            <v>339</v>
          </cell>
        </row>
        <row r="82">
          <cell r="C82" t="str">
            <v>상계2동주민센터</v>
          </cell>
          <cell r="D82">
            <v>1742</v>
          </cell>
        </row>
        <row r="83">
          <cell r="C83" t="str">
            <v>상계3,4동 주민센터</v>
          </cell>
          <cell r="D83">
            <v>360</v>
          </cell>
        </row>
        <row r="84">
          <cell r="C84" t="str">
            <v>상계역 자전거대여소</v>
          </cell>
          <cell r="D84">
            <v>3510</v>
          </cell>
        </row>
        <row r="85">
          <cell r="C85" t="str">
            <v>공릉 청소년문화정보센터</v>
          </cell>
          <cell r="D85">
            <v>1221</v>
          </cell>
        </row>
        <row r="86">
          <cell r="C86" t="str">
            <v>공릉1동 주민센터(노원)</v>
          </cell>
          <cell r="D86">
            <v>1096</v>
          </cell>
        </row>
        <row r="87">
          <cell r="C87" t="str">
            <v>공릉종합사회복지관</v>
          </cell>
          <cell r="D87">
            <v>455</v>
          </cell>
        </row>
        <row r="88">
          <cell r="C88" t="str">
            <v>상계문화정보도서관</v>
          </cell>
          <cell r="D88">
            <v>725</v>
          </cell>
        </row>
        <row r="89">
          <cell r="C89" t="str">
            <v>창3동 주민센터</v>
          </cell>
          <cell r="D89">
            <v>703</v>
          </cell>
        </row>
        <row r="90">
          <cell r="C90" t="str">
            <v>염광교회</v>
          </cell>
          <cell r="D90">
            <v>606</v>
          </cell>
        </row>
        <row r="91">
          <cell r="C91" t="str">
            <v>도봉구민회관</v>
          </cell>
          <cell r="D91">
            <v>2287</v>
          </cell>
        </row>
        <row r="92">
          <cell r="C92" t="str">
            <v>도봉서원종합사회복지관</v>
          </cell>
          <cell r="D92">
            <v>20</v>
          </cell>
        </row>
        <row r="93">
          <cell r="C93" t="str">
            <v>방아골종합사회복지관</v>
          </cell>
          <cell r="D93">
            <v>639</v>
          </cell>
        </row>
        <row r="94">
          <cell r="C94" t="str">
            <v>도봉1동주민센터</v>
          </cell>
          <cell r="D94">
            <v>849</v>
          </cell>
        </row>
        <row r="95">
          <cell r="C95" t="str">
            <v>창2동 신창교회</v>
          </cell>
          <cell r="D95">
            <v>1183</v>
          </cell>
        </row>
        <row r="96">
          <cell r="C96" t="str">
            <v>장안2동 공영주차장</v>
          </cell>
          <cell r="D96">
            <v>1108</v>
          </cell>
        </row>
        <row r="97">
          <cell r="C97" t="str">
            <v>동대문구청 종합민원실</v>
          </cell>
          <cell r="D97">
            <v>1816</v>
          </cell>
        </row>
        <row r="98">
          <cell r="C98" t="str">
            <v>회기동공영주차장</v>
          </cell>
          <cell r="D98">
            <v>973</v>
          </cell>
        </row>
        <row r="99">
          <cell r="C99" t="str">
            <v>답십리도서관</v>
          </cell>
          <cell r="D99">
            <v>1884</v>
          </cell>
        </row>
        <row r="100">
          <cell r="C100" t="str">
            <v>정보화도서관</v>
          </cell>
          <cell r="D100">
            <v>602</v>
          </cell>
        </row>
        <row r="101">
          <cell r="C101" t="str">
            <v>장안종합사회복지관</v>
          </cell>
          <cell r="D101">
            <v>974</v>
          </cell>
        </row>
        <row r="102">
          <cell r="C102" t="str">
            <v>답십리2청소년독서실</v>
          </cell>
          <cell r="D102">
            <v>1034</v>
          </cell>
        </row>
        <row r="103">
          <cell r="C103" t="str">
            <v>휘경동공영주차장</v>
          </cell>
          <cell r="D103">
            <v>562</v>
          </cell>
        </row>
        <row r="104">
          <cell r="C104" t="str">
            <v>신한은행 외대역 지점</v>
          </cell>
          <cell r="D104">
            <v>331</v>
          </cell>
        </row>
        <row r="105">
          <cell r="C105" t="str">
            <v>이문체육문화센터</v>
          </cell>
          <cell r="D105">
            <v>319</v>
          </cell>
        </row>
        <row r="106">
          <cell r="C106" t="str">
            <v>순만빌딩</v>
          </cell>
          <cell r="D106">
            <v>865</v>
          </cell>
        </row>
        <row r="107">
          <cell r="C107" t="str">
            <v>사당문화회관</v>
          </cell>
          <cell r="D107">
            <v>1219</v>
          </cell>
        </row>
        <row r="108">
          <cell r="C108" t="str">
            <v>상도1동주민센터</v>
          </cell>
          <cell r="D108">
            <v>1180</v>
          </cell>
        </row>
        <row r="109">
          <cell r="C109" t="str">
            <v>강남교회 교육관</v>
          </cell>
          <cell r="D109">
            <v>561</v>
          </cell>
        </row>
        <row r="110">
          <cell r="C110" t="str">
            <v>동작청소년센터</v>
          </cell>
          <cell r="D110">
            <v>341</v>
          </cell>
        </row>
        <row r="111">
          <cell r="C111" t="str">
            <v>kb국민은행 동작구청지점</v>
          </cell>
          <cell r="D111">
            <v>926</v>
          </cell>
        </row>
        <row r="112">
          <cell r="C112" t="str">
            <v>사당노인종합복지관</v>
          </cell>
          <cell r="D112">
            <v>1191</v>
          </cell>
        </row>
        <row r="113">
          <cell r="C113" t="str">
            <v>스페이스살림</v>
          </cell>
          <cell r="D113">
            <v>869</v>
          </cell>
        </row>
        <row r="114">
          <cell r="C114" t="str">
            <v>상도3동 주민센터</v>
          </cell>
          <cell r="D114">
            <v>2720</v>
          </cell>
        </row>
        <row r="115">
          <cell r="C115" t="str">
            <v>신대방해피점</v>
          </cell>
          <cell r="D115">
            <v>12</v>
          </cell>
        </row>
        <row r="116">
          <cell r="C116" t="str">
            <v>현대오일뱅크_사당셀프주유소</v>
          </cell>
          <cell r="D116">
            <v>1018</v>
          </cell>
        </row>
        <row r="117">
          <cell r="C117" t="str">
            <v>신한은행 숭실대역 지점</v>
          </cell>
          <cell r="D117">
            <v>236</v>
          </cell>
        </row>
        <row r="118">
          <cell r="C118" t="str">
            <v>사당종합체육관</v>
          </cell>
          <cell r="D118">
            <v>148</v>
          </cell>
        </row>
        <row r="119">
          <cell r="C119" t="str">
            <v>망원2동 치안센터</v>
          </cell>
          <cell r="D119">
            <v>855</v>
          </cell>
        </row>
        <row r="120">
          <cell r="C120" t="str">
            <v>신수동주민센터</v>
          </cell>
          <cell r="D120">
            <v>1128</v>
          </cell>
        </row>
        <row r="121">
          <cell r="C121" t="str">
            <v>성산2동주민센터</v>
          </cell>
          <cell r="D121">
            <v>857</v>
          </cell>
        </row>
        <row r="122">
          <cell r="C122" t="str">
            <v>연남동희망원룸주택</v>
          </cell>
          <cell r="D122">
            <v>274</v>
          </cell>
        </row>
        <row r="123">
          <cell r="C123" t="str">
            <v>상암동 제1공영주차장</v>
          </cell>
          <cell r="D123">
            <v>1394</v>
          </cell>
        </row>
        <row r="124">
          <cell r="C124" t="str">
            <v>마포아트센터</v>
          </cell>
          <cell r="D124">
            <v>1189</v>
          </cell>
        </row>
        <row r="125">
          <cell r="C125" t="str">
            <v>대흥동주민센터</v>
          </cell>
          <cell r="D125">
            <v>966</v>
          </cell>
        </row>
        <row r="126">
          <cell r="C126" t="str">
            <v>연남동 주민커뮤니티센터</v>
          </cell>
          <cell r="D126">
            <v>1870</v>
          </cell>
        </row>
        <row r="127">
          <cell r="C127" t="str">
            <v>도화동 주민센터</v>
          </cell>
          <cell r="D127">
            <v>2694</v>
          </cell>
        </row>
        <row r="128">
          <cell r="C128" t="str">
            <v>서교동교회</v>
          </cell>
          <cell r="D128">
            <v>323</v>
          </cell>
        </row>
        <row r="129">
          <cell r="C129" t="str">
            <v>성산1동주민센터</v>
          </cell>
          <cell r="D129">
            <v>89</v>
          </cell>
        </row>
        <row r="130">
          <cell r="C130" t="str">
            <v>상암동주민센터후문</v>
          </cell>
          <cell r="D130">
            <v>516</v>
          </cell>
        </row>
        <row r="131">
          <cell r="C131" t="str">
            <v>서강동주민센터</v>
          </cell>
          <cell r="D131">
            <v>439</v>
          </cell>
        </row>
        <row r="132">
          <cell r="C132" t="str">
            <v>동교치안센터</v>
          </cell>
          <cell r="D132">
            <v>335</v>
          </cell>
        </row>
        <row r="133">
          <cell r="C133" t="str">
            <v>서현교회</v>
          </cell>
          <cell r="D133">
            <v>837</v>
          </cell>
        </row>
        <row r="134">
          <cell r="C134" t="str">
            <v>홍제3동 주민센터</v>
          </cell>
          <cell r="D134">
            <v>806</v>
          </cell>
        </row>
        <row r="135">
          <cell r="C135" t="str">
            <v>홍은2동 주민센터</v>
          </cell>
          <cell r="D135">
            <v>577</v>
          </cell>
        </row>
        <row r="136">
          <cell r="C136" t="str">
            <v>연희동주민센터</v>
          </cell>
          <cell r="D136">
            <v>507</v>
          </cell>
        </row>
        <row r="137">
          <cell r="C137" t="str">
            <v>홍은1동주민센터</v>
          </cell>
          <cell r="D137">
            <v>621</v>
          </cell>
        </row>
        <row r="138">
          <cell r="C138" t="str">
            <v>신한은행_연희동점</v>
          </cell>
          <cell r="D138">
            <v>248</v>
          </cell>
        </row>
        <row r="139">
          <cell r="C139" t="str">
            <v>봉원교회 북카페 옆</v>
          </cell>
          <cell r="D139">
            <v>412</v>
          </cell>
        </row>
        <row r="140">
          <cell r="C140" t="str">
            <v>북아현동 주민센터</v>
          </cell>
          <cell r="D140">
            <v>2189</v>
          </cell>
        </row>
        <row r="141">
          <cell r="C141" t="str">
            <v>충현동주민센터</v>
          </cell>
          <cell r="D141">
            <v>574</v>
          </cell>
        </row>
        <row r="142">
          <cell r="C142" t="str">
            <v>청년누리</v>
          </cell>
          <cell r="D142">
            <v>798</v>
          </cell>
        </row>
        <row r="143">
          <cell r="C143" t="str">
            <v>신한은행 명지대 지점</v>
          </cell>
          <cell r="D143">
            <v>457</v>
          </cell>
        </row>
        <row r="144">
          <cell r="C144" t="str">
            <v>남가좌2동 제2공영주차장</v>
          </cell>
          <cell r="D144">
            <v>369</v>
          </cell>
        </row>
        <row r="145">
          <cell r="C145" t="str">
            <v>신한은행_남가좌동점</v>
          </cell>
          <cell r="D145">
            <v>388</v>
          </cell>
        </row>
        <row r="146">
          <cell r="C146" t="str">
            <v>양재2동주민센터</v>
          </cell>
          <cell r="D146">
            <v>1163</v>
          </cell>
        </row>
        <row r="147">
          <cell r="C147" t="str">
            <v>언구비 공영주차장</v>
          </cell>
          <cell r="D147">
            <v>1500</v>
          </cell>
        </row>
        <row r="148">
          <cell r="C148" t="str">
            <v>방배열린문화센터</v>
          </cell>
          <cell r="D148">
            <v>2204</v>
          </cell>
        </row>
        <row r="149">
          <cell r="C149" t="str">
            <v>방배2동 주민센터</v>
          </cell>
          <cell r="D149">
            <v>656</v>
          </cell>
        </row>
        <row r="150">
          <cell r="C150" t="str">
            <v>서초꿈나무라이온스 보금자리</v>
          </cell>
          <cell r="D150">
            <v>482</v>
          </cell>
        </row>
        <row r="151">
          <cell r="C151" t="str">
            <v>양재공영주차장</v>
          </cell>
          <cell r="D151">
            <v>295</v>
          </cell>
        </row>
        <row r="152">
          <cell r="C152" t="str">
            <v>양재1동민원분소</v>
          </cell>
          <cell r="D152">
            <v>720</v>
          </cell>
        </row>
        <row r="153">
          <cell r="C153" t="str">
            <v>성동구민종합체육센터</v>
          </cell>
          <cell r="D153">
            <v>824</v>
          </cell>
        </row>
        <row r="154">
          <cell r="C154" t="str">
            <v>성동구립도서관</v>
          </cell>
          <cell r="D154">
            <v>2373</v>
          </cell>
        </row>
        <row r="155">
          <cell r="C155" t="str">
            <v>왕십리2동주민센터</v>
          </cell>
          <cell r="D155">
            <v>392</v>
          </cell>
        </row>
        <row r="156">
          <cell r="C156" t="str">
            <v>사근동주민센터</v>
          </cell>
          <cell r="D156">
            <v>300</v>
          </cell>
        </row>
        <row r="157">
          <cell r="C157" t="str">
            <v>열린금호교육문화관</v>
          </cell>
          <cell r="D157">
            <v>661</v>
          </cell>
        </row>
        <row r="158">
          <cell r="C158" t="str">
            <v>하왕십리공영주차장</v>
          </cell>
          <cell r="D158">
            <v>528</v>
          </cell>
        </row>
        <row r="159">
          <cell r="C159" t="str">
            <v>성수2가3동 공영주차장</v>
          </cell>
          <cell r="D159">
            <v>363</v>
          </cell>
        </row>
        <row r="160">
          <cell r="C160" t="str">
            <v>응봉동 공영주차장</v>
          </cell>
          <cell r="D160">
            <v>13</v>
          </cell>
        </row>
        <row r="161">
          <cell r="C161" t="str">
            <v>제일빌딩</v>
          </cell>
          <cell r="D161">
            <v>417</v>
          </cell>
        </row>
        <row r="162">
          <cell r="C162" t="str">
            <v>성북희망나눔봉사센터</v>
          </cell>
          <cell r="D162">
            <v>1610</v>
          </cell>
        </row>
        <row r="163">
          <cell r="C163" t="str">
            <v>안암교회</v>
          </cell>
          <cell r="D163">
            <v>1070</v>
          </cell>
        </row>
        <row r="164">
          <cell r="C164" t="str">
            <v>아리랑 시네미디어센터</v>
          </cell>
          <cell r="D164">
            <v>1211</v>
          </cell>
        </row>
        <row r="165">
          <cell r="C165" t="str">
            <v>장위1동 주민센터</v>
          </cell>
          <cell r="D165">
            <v>1808</v>
          </cell>
        </row>
        <row r="166">
          <cell r="C166" t="str">
            <v>석관동주민센터</v>
          </cell>
          <cell r="D166">
            <v>899</v>
          </cell>
        </row>
        <row r="167">
          <cell r="C167" t="str">
            <v>보문부모아이지원센터</v>
          </cell>
          <cell r="D167">
            <v>473</v>
          </cell>
        </row>
        <row r="168">
          <cell r="C168" t="str">
            <v>성북정릉감리교회</v>
          </cell>
          <cell r="D168">
            <v>75</v>
          </cell>
        </row>
        <row r="169">
          <cell r="C169" t="str">
            <v>거여2동주민센터</v>
          </cell>
          <cell r="D169">
            <v>1570</v>
          </cell>
        </row>
        <row r="170">
          <cell r="C170" t="str">
            <v>마천2동주민센터</v>
          </cell>
          <cell r="D170">
            <v>1301</v>
          </cell>
        </row>
        <row r="171">
          <cell r="C171" t="str">
            <v>석촌동주민센터</v>
          </cell>
          <cell r="D171">
            <v>2283</v>
          </cell>
        </row>
        <row r="172">
          <cell r="C172" t="str">
            <v>송파노인종합복지관</v>
          </cell>
          <cell r="D172">
            <v>1271</v>
          </cell>
        </row>
        <row r="173">
          <cell r="C173" t="str">
            <v>여의도 순복음송파교회</v>
          </cell>
          <cell r="D173">
            <v>1175</v>
          </cell>
        </row>
        <row r="174">
          <cell r="C174" t="str">
            <v>송파여성 문화회관</v>
          </cell>
          <cell r="D174">
            <v>3120</v>
          </cell>
        </row>
        <row r="175">
          <cell r="C175" t="str">
            <v>거여1동주민센터</v>
          </cell>
          <cell r="D175">
            <v>725</v>
          </cell>
        </row>
        <row r="176">
          <cell r="C176" t="str">
            <v>문정1동 주민센터</v>
          </cell>
          <cell r="D176">
            <v>1923</v>
          </cell>
        </row>
        <row r="177">
          <cell r="C177" t="str">
            <v>가락2동치안센터</v>
          </cell>
          <cell r="D177">
            <v>646</v>
          </cell>
        </row>
        <row r="178">
          <cell r="C178" t="str">
            <v>삼전지구대</v>
          </cell>
          <cell r="D178">
            <v>130</v>
          </cell>
        </row>
        <row r="179">
          <cell r="C179" t="str">
            <v>양천나눔누리센터</v>
          </cell>
          <cell r="D179">
            <v>2563</v>
          </cell>
        </row>
        <row r="180">
          <cell r="C180" t="str">
            <v>목동실버복지문화센터</v>
          </cell>
          <cell r="D180">
            <v>1217</v>
          </cell>
        </row>
        <row r="181">
          <cell r="C181" t="str">
            <v>신월3동주민센터</v>
          </cell>
          <cell r="D181">
            <v>916</v>
          </cell>
        </row>
        <row r="182">
          <cell r="C182" t="str">
            <v>신정4동주민센터</v>
          </cell>
          <cell r="D182">
            <v>1443</v>
          </cell>
        </row>
        <row r="183">
          <cell r="C183" t="str">
            <v>목동문화체육센터</v>
          </cell>
          <cell r="D183">
            <v>1175</v>
          </cell>
        </row>
        <row r="184">
          <cell r="C184" t="str">
            <v>신월문화체육센터</v>
          </cell>
          <cell r="D184">
            <v>725</v>
          </cell>
        </row>
        <row r="185">
          <cell r="C185" t="str">
            <v>신월5동주민센터</v>
          </cell>
          <cell r="D185">
            <v>471</v>
          </cell>
        </row>
        <row r="186">
          <cell r="C186" t="str">
            <v>신월4동주민센터</v>
          </cell>
          <cell r="D186">
            <v>676</v>
          </cell>
        </row>
        <row r="187">
          <cell r="C187" t="str">
            <v>목3동 주민센터</v>
          </cell>
          <cell r="D187">
            <v>1276</v>
          </cell>
        </row>
        <row r="188">
          <cell r="C188" t="str">
            <v>목동보건지소</v>
          </cell>
          <cell r="D188">
            <v>542</v>
          </cell>
        </row>
        <row r="189">
          <cell r="C189" t="str">
            <v>영등포 평생학습관</v>
          </cell>
          <cell r="D189">
            <v>727</v>
          </cell>
        </row>
        <row r="190">
          <cell r="C190" t="str">
            <v>영등포본동주민센터</v>
          </cell>
          <cell r="D190">
            <v>1408</v>
          </cell>
        </row>
        <row r="191">
          <cell r="C191" t="str">
            <v>신길4동1동1마을공영주차장</v>
          </cell>
          <cell r="D191">
            <v>520</v>
          </cell>
        </row>
        <row r="192">
          <cell r="C192" t="str">
            <v>신길7동 주민센터</v>
          </cell>
          <cell r="D192">
            <v>1278</v>
          </cell>
        </row>
        <row r="193">
          <cell r="C193" t="str">
            <v>도림동 주민센터</v>
          </cell>
          <cell r="D193">
            <v>620</v>
          </cell>
        </row>
        <row r="194">
          <cell r="C194" t="str">
            <v>다사랑어린이공원(경로당)</v>
          </cell>
          <cell r="D194">
            <v>173</v>
          </cell>
        </row>
        <row r="195">
          <cell r="C195" t="str">
            <v>신길1동 주민센터</v>
          </cell>
          <cell r="D195">
            <v>1146</v>
          </cell>
        </row>
        <row r="196">
          <cell r="C196" t="str">
            <v>대림도서관</v>
          </cell>
          <cell r="D196">
            <v>764</v>
          </cell>
        </row>
        <row r="197">
          <cell r="C197" t="str">
            <v>영등포 제1스포츠센터</v>
          </cell>
          <cell r="D197">
            <v>637</v>
          </cell>
        </row>
        <row r="198">
          <cell r="C198" t="str">
            <v>그린케어센터</v>
          </cell>
          <cell r="D198">
            <v>1826</v>
          </cell>
        </row>
        <row r="199">
          <cell r="C199" t="str">
            <v>신길6동복지관</v>
          </cell>
          <cell r="D199">
            <v>1029</v>
          </cell>
        </row>
        <row r="200">
          <cell r="C200" t="str">
            <v>숙대 명재관 인근</v>
          </cell>
          <cell r="D200">
            <v>1467</v>
          </cell>
        </row>
        <row r="201">
          <cell r="C201" t="str">
            <v>용산치안센터(2가동주민센터)</v>
          </cell>
          <cell r="D201">
            <v>630</v>
          </cell>
        </row>
        <row r="202">
          <cell r="C202" t="str">
            <v>효창동주민센터</v>
          </cell>
          <cell r="D202">
            <v>583</v>
          </cell>
        </row>
        <row r="203">
          <cell r="C203" t="str">
            <v>한남동공영주차장</v>
          </cell>
          <cell r="D203">
            <v>643</v>
          </cell>
        </row>
        <row r="204">
          <cell r="C204" t="str">
            <v>용산구청후문</v>
          </cell>
          <cell r="D204">
            <v>717</v>
          </cell>
        </row>
        <row r="205">
          <cell r="C205" t="str">
            <v>갈월종합사회복지관</v>
          </cell>
          <cell r="D205">
            <v>1676</v>
          </cell>
        </row>
        <row r="206">
          <cell r="C206" t="str">
            <v>용산꿈나무종합타운</v>
          </cell>
          <cell r="D206">
            <v>992</v>
          </cell>
        </row>
        <row r="207">
          <cell r="C207" t="str">
            <v>보광동주민센터</v>
          </cell>
          <cell r="D207">
            <v>169</v>
          </cell>
        </row>
        <row r="208">
          <cell r="C208" t="str">
            <v>연신내 지구대</v>
          </cell>
          <cell r="D208">
            <v>1123</v>
          </cell>
        </row>
        <row r="209">
          <cell r="C209" t="str">
            <v>구산동주민센터</v>
          </cell>
          <cell r="D209">
            <v>1039</v>
          </cell>
        </row>
        <row r="210">
          <cell r="C210" t="str">
            <v>신사종합사회복지관</v>
          </cell>
          <cell r="D210">
            <v>2185</v>
          </cell>
        </row>
        <row r="211">
          <cell r="C211" t="str">
            <v>불광1동 치안센터</v>
          </cell>
          <cell r="D211">
            <v>1557</v>
          </cell>
        </row>
        <row r="212">
          <cell r="C212" t="str">
            <v xml:space="preserve">청년취업사관학교 은평캠퍼스 </v>
          </cell>
          <cell r="D212">
            <v>2037</v>
          </cell>
        </row>
        <row r="213">
          <cell r="C213" t="str">
            <v>갈현1동 주민센터</v>
          </cell>
          <cell r="D213">
            <v>1188</v>
          </cell>
        </row>
        <row r="214">
          <cell r="C214" t="str">
            <v>역촌동 주민센터</v>
          </cell>
          <cell r="D214">
            <v>2128</v>
          </cell>
        </row>
        <row r="215">
          <cell r="C215" t="str">
            <v>갈현청소년센터쉼쉼</v>
          </cell>
          <cell r="D215">
            <v>288</v>
          </cell>
        </row>
        <row r="216">
          <cell r="C216" t="str">
            <v>청운효자동 자치회관</v>
          </cell>
          <cell r="D216">
            <v>803</v>
          </cell>
        </row>
        <row r="217">
          <cell r="C217" t="str">
            <v>종로육아종합지원센터</v>
          </cell>
          <cell r="D217">
            <v>1614</v>
          </cell>
        </row>
        <row r="218">
          <cell r="C218" t="str">
            <v>숭인1동 주민센터</v>
          </cell>
          <cell r="D218">
            <v>819</v>
          </cell>
        </row>
        <row r="219">
          <cell r="C219" t="str">
            <v>종로구민회관</v>
          </cell>
          <cell r="D219">
            <v>552</v>
          </cell>
        </row>
        <row r="220">
          <cell r="C220" t="str">
            <v>숭인제2동주민센터</v>
          </cell>
          <cell r="D220">
            <v>307</v>
          </cell>
        </row>
        <row r="221">
          <cell r="C221" t="str">
            <v>버티 공영주차장</v>
          </cell>
          <cell r="D221">
            <v>928</v>
          </cell>
        </row>
        <row r="222">
          <cell r="C222" t="str">
            <v>장충체육관 후문</v>
          </cell>
          <cell r="D222">
            <v>978</v>
          </cell>
        </row>
        <row r="223">
          <cell r="C223" t="str">
            <v>충무창업큐브</v>
          </cell>
          <cell r="D223">
            <v>0</v>
          </cell>
        </row>
        <row r="224">
          <cell r="C224" t="str">
            <v>면목4동주민센터</v>
          </cell>
          <cell r="D224">
            <v>779</v>
          </cell>
        </row>
        <row r="225">
          <cell r="C225" t="str">
            <v>면목5동 주민센터</v>
          </cell>
          <cell r="D225">
            <v>957</v>
          </cell>
        </row>
        <row r="226">
          <cell r="C226" t="str">
            <v>면목본동 주민센터</v>
          </cell>
          <cell r="D226">
            <v>2773</v>
          </cell>
        </row>
        <row r="227">
          <cell r="C227" t="str">
            <v>상봉2동주민센터</v>
          </cell>
          <cell r="D227">
            <v>739</v>
          </cell>
        </row>
        <row r="228">
          <cell r="C228" t="str">
            <v>상봉1동주민센터</v>
          </cell>
          <cell r="D228">
            <v>1640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9"/>
  <sheetViews>
    <sheetView tabSelected="1" workbookViewId="0">
      <selection activeCell="B4" sqref="B4"/>
    </sheetView>
  </sheetViews>
  <sheetFormatPr defaultRowHeight="16.5"/>
  <cols>
    <col min="1" max="1" width="10.75" style="6" customWidth="1"/>
    <col min="2" max="2" width="36.375" style="2" customWidth="1"/>
    <col min="3" max="3" width="25.75" style="2" customWidth="1"/>
    <col min="4" max="4" width="10.125" style="2" customWidth="1"/>
    <col min="5" max="5" width="13.875" style="2" customWidth="1"/>
    <col min="6" max="7" width="11.25" style="2" customWidth="1"/>
    <col min="8" max="8" width="18.125" style="8" customWidth="1"/>
    <col min="9" max="9" width="17.75" style="8" customWidth="1"/>
    <col min="10" max="12" width="18" style="8" customWidth="1"/>
    <col min="13" max="13" width="23.125" style="8" customWidth="1"/>
  </cols>
  <sheetData>
    <row r="1" spans="1:13" ht="22.5" customHeight="1">
      <c r="A1" s="23" t="s">
        <v>0</v>
      </c>
      <c r="B1" s="23" t="s">
        <v>604</v>
      </c>
      <c r="C1" s="23" t="s">
        <v>1</v>
      </c>
      <c r="D1" s="23" t="s">
        <v>485</v>
      </c>
      <c r="E1" s="23" t="s">
        <v>483</v>
      </c>
      <c r="F1" s="23" t="s">
        <v>484</v>
      </c>
      <c r="G1" s="23" t="s">
        <v>481</v>
      </c>
      <c r="H1" s="24" t="s">
        <v>602</v>
      </c>
      <c r="I1" s="24" t="s">
        <v>579</v>
      </c>
      <c r="J1" s="24" t="s">
        <v>580</v>
      </c>
      <c r="K1" s="24" t="s">
        <v>581</v>
      </c>
      <c r="L1" s="24" t="s">
        <v>582</v>
      </c>
      <c r="M1" s="24" t="s">
        <v>603</v>
      </c>
    </row>
    <row r="2" spans="1:13">
      <c r="A2" s="15" t="s">
        <v>2</v>
      </c>
      <c r="B2" s="16" t="s">
        <v>3</v>
      </c>
      <c r="C2" s="16" t="s">
        <v>4</v>
      </c>
      <c r="D2" s="16" t="s">
        <v>501</v>
      </c>
      <c r="E2" s="16">
        <v>2017</v>
      </c>
      <c r="F2" s="16"/>
      <c r="G2" s="16">
        <v>19</v>
      </c>
      <c r="H2" s="17">
        <v>0.35</v>
      </c>
      <c r="I2" s="17">
        <v>0.27</v>
      </c>
      <c r="J2" s="17">
        <v>0.24</v>
      </c>
      <c r="K2" s="17">
        <v>0.28010821803303215</v>
      </c>
      <c r="L2" s="17">
        <v>0.26544826447840031</v>
      </c>
      <c r="M2" s="17">
        <v>0.26662692798304005</v>
      </c>
    </row>
    <row r="3" spans="1:13" s="1" customFormat="1">
      <c r="A3" s="15"/>
      <c r="B3" s="16" t="s">
        <v>5</v>
      </c>
      <c r="C3" s="16" t="s">
        <v>6</v>
      </c>
      <c r="D3" s="16" t="s">
        <v>501</v>
      </c>
      <c r="E3" s="16">
        <v>2015</v>
      </c>
      <c r="F3" s="16"/>
      <c r="G3" s="16">
        <v>19</v>
      </c>
      <c r="H3" s="17"/>
      <c r="I3" s="17"/>
      <c r="J3" s="17"/>
      <c r="K3" s="17"/>
      <c r="L3" s="17"/>
      <c r="M3" s="17"/>
    </row>
    <row r="4" spans="1:13" s="1" customFormat="1">
      <c r="A4" s="15"/>
      <c r="B4" s="16" t="s">
        <v>7</v>
      </c>
      <c r="C4" s="16" t="s">
        <v>8</v>
      </c>
      <c r="D4" s="16" t="s">
        <v>501</v>
      </c>
      <c r="E4" s="16">
        <v>2014</v>
      </c>
      <c r="F4" s="16"/>
      <c r="G4" s="16">
        <v>19</v>
      </c>
      <c r="H4" s="17"/>
      <c r="I4" s="17"/>
      <c r="J4" s="17"/>
      <c r="K4" s="17"/>
      <c r="L4" s="17"/>
      <c r="M4" s="17"/>
    </row>
    <row r="5" spans="1:13" s="1" customFormat="1">
      <c r="A5" s="15"/>
      <c r="B5" s="16" t="s">
        <v>9</v>
      </c>
      <c r="C5" s="16" t="s">
        <v>10</v>
      </c>
      <c r="D5" s="16" t="s">
        <v>501</v>
      </c>
      <c r="E5" s="16">
        <v>2020</v>
      </c>
      <c r="F5" s="16"/>
      <c r="G5" s="16">
        <v>12</v>
      </c>
      <c r="H5" s="17"/>
      <c r="I5" s="17"/>
      <c r="J5" s="17"/>
      <c r="K5" s="17"/>
      <c r="L5" s="17"/>
      <c r="M5" s="17"/>
    </row>
    <row r="6" spans="1:13" s="1" customFormat="1">
      <c r="A6" s="15"/>
      <c r="B6" s="16" t="s">
        <v>11</v>
      </c>
      <c r="C6" s="16" t="s">
        <v>12</v>
      </c>
      <c r="D6" s="16" t="s">
        <v>501</v>
      </c>
      <c r="E6" s="16">
        <v>2019</v>
      </c>
      <c r="F6" s="16"/>
      <c r="G6" s="16">
        <v>12</v>
      </c>
      <c r="H6" s="17"/>
      <c r="I6" s="17"/>
      <c r="J6" s="17"/>
      <c r="K6" s="17"/>
      <c r="L6" s="17"/>
      <c r="M6" s="17"/>
    </row>
    <row r="7" spans="1:13" s="1" customFormat="1">
      <c r="A7" s="15" t="s">
        <v>13</v>
      </c>
      <c r="B7" s="16" t="s">
        <v>14</v>
      </c>
      <c r="C7" s="16" t="s">
        <v>15</v>
      </c>
      <c r="D7" s="16" t="s">
        <v>486</v>
      </c>
      <c r="E7" s="16">
        <v>2017</v>
      </c>
      <c r="F7" s="16">
        <v>2025</v>
      </c>
      <c r="G7" s="16">
        <v>12</v>
      </c>
      <c r="H7" s="17">
        <v>0.21</v>
      </c>
      <c r="I7" s="17">
        <v>0.19</v>
      </c>
      <c r="J7" s="17">
        <v>0.19</v>
      </c>
      <c r="K7" s="17">
        <v>0.17610142302182555</v>
      </c>
      <c r="L7" s="17">
        <v>0.19230336706461496</v>
      </c>
      <c r="M7" s="17">
        <v>0.18529455358827174</v>
      </c>
    </row>
    <row r="8" spans="1:13" s="1" customFormat="1">
      <c r="A8" s="15"/>
      <c r="B8" s="16" t="s">
        <v>16</v>
      </c>
      <c r="C8" s="16" t="s">
        <v>17</v>
      </c>
      <c r="D8" s="16" t="s">
        <v>501</v>
      </c>
      <c r="E8" s="16">
        <v>2017</v>
      </c>
      <c r="F8" s="16"/>
      <c r="G8" s="16">
        <v>19</v>
      </c>
      <c r="H8" s="17"/>
      <c r="I8" s="17"/>
      <c r="J8" s="17"/>
      <c r="K8" s="17"/>
      <c r="L8" s="17"/>
      <c r="M8" s="17"/>
    </row>
    <row r="9" spans="1:13" s="1" customFormat="1">
      <c r="A9" s="15"/>
      <c r="B9" s="16" t="s">
        <v>18</v>
      </c>
      <c r="C9" s="16" t="s">
        <v>19</v>
      </c>
      <c r="D9" s="16" t="s">
        <v>501</v>
      </c>
      <c r="E9" s="16">
        <v>2016</v>
      </c>
      <c r="F9" s="16"/>
      <c r="G9" s="16">
        <v>19</v>
      </c>
      <c r="H9" s="17"/>
      <c r="I9" s="17"/>
      <c r="J9" s="17"/>
      <c r="K9" s="17"/>
      <c r="L9" s="17"/>
      <c r="M9" s="17"/>
    </row>
    <row r="10" spans="1:13" s="1" customFormat="1">
      <c r="A10" s="15"/>
      <c r="B10" s="16" t="s">
        <v>20</v>
      </c>
      <c r="C10" s="16" t="s">
        <v>21</v>
      </c>
      <c r="D10" s="16" t="s">
        <v>487</v>
      </c>
      <c r="E10" s="16">
        <v>2014</v>
      </c>
      <c r="F10" s="16">
        <v>2025</v>
      </c>
      <c r="G10" s="16">
        <v>19</v>
      </c>
      <c r="H10" s="17"/>
      <c r="I10" s="17"/>
      <c r="J10" s="17"/>
      <c r="K10" s="17"/>
      <c r="L10" s="17"/>
      <c r="M10" s="17"/>
    </row>
    <row r="11" spans="1:13" s="1" customFormat="1">
      <c r="A11" s="15"/>
      <c r="B11" s="16" t="s">
        <v>489</v>
      </c>
      <c r="C11" s="16" t="s">
        <v>22</v>
      </c>
      <c r="D11" s="16" t="s">
        <v>487</v>
      </c>
      <c r="E11" s="16">
        <v>2018</v>
      </c>
      <c r="F11" s="16">
        <v>2024</v>
      </c>
      <c r="G11" s="16">
        <v>12</v>
      </c>
      <c r="H11" s="17"/>
      <c r="I11" s="17"/>
      <c r="J11" s="17"/>
      <c r="K11" s="17"/>
      <c r="L11" s="17"/>
      <c r="M11" s="17"/>
    </row>
    <row r="12" spans="1:13" s="1" customFormat="1">
      <c r="A12" s="15"/>
      <c r="B12" s="16" t="s">
        <v>586</v>
      </c>
      <c r="C12" s="16" t="s">
        <v>23</v>
      </c>
      <c r="D12" s="16" t="s">
        <v>487</v>
      </c>
      <c r="E12" s="16" t="s">
        <v>566</v>
      </c>
      <c r="F12" s="16">
        <v>2024</v>
      </c>
      <c r="G12" s="16">
        <v>12</v>
      </c>
      <c r="H12" s="17"/>
      <c r="I12" s="17"/>
      <c r="J12" s="17"/>
      <c r="K12" s="17"/>
      <c r="L12" s="17"/>
      <c r="M12" s="17"/>
    </row>
    <row r="13" spans="1:13" s="1" customFormat="1">
      <c r="A13" s="15"/>
      <c r="B13" s="16" t="s">
        <v>526</v>
      </c>
      <c r="C13" s="16" t="s">
        <v>544</v>
      </c>
      <c r="D13" s="16" t="s">
        <v>487</v>
      </c>
      <c r="E13" s="16">
        <v>2016</v>
      </c>
      <c r="F13" s="16">
        <v>2024</v>
      </c>
      <c r="G13" s="16">
        <v>19</v>
      </c>
      <c r="H13" s="17"/>
      <c r="I13" s="17"/>
      <c r="J13" s="17"/>
      <c r="K13" s="17"/>
      <c r="L13" s="17"/>
      <c r="M13" s="17"/>
    </row>
    <row r="14" spans="1:13" s="1" customFormat="1">
      <c r="A14" s="15"/>
      <c r="B14" s="16" t="s">
        <v>527</v>
      </c>
      <c r="C14" s="16" t="s">
        <v>545</v>
      </c>
      <c r="D14" s="16" t="s">
        <v>487</v>
      </c>
      <c r="E14" s="16" t="s">
        <v>566</v>
      </c>
      <c r="F14" s="16">
        <v>2022</v>
      </c>
      <c r="G14" s="16">
        <v>12</v>
      </c>
      <c r="H14" s="17"/>
      <c r="I14" s="17"/>
      <c r="J14" s="17"/>
      <c r="K14" s="17"/>
      <c r="L14" s="17"/>
      <c r="M14" s="17"/>
    </row>
    <row r="15" spans="1:13" s="1" customFormat="1">
      <c r="A15" s="15"/>
      <c r="B15" s="16" t="s">
        <v>24</v>
      </c>
      <c r="C15" s="16" t="s">
        <v>25</v>
      </c>
      <c r="D15" s="16" t="s">
        <v>501</v>
      </c>
      <c r="E15" s="16">
        <v>2023</v>
      </c>
      <c r="F15" s="16"/>
      <c r="G15" s="16">
        <v>12</v>
      </c>
      <c r="H15" s="17"/>
      <c r="I15" s="17"/>
      <c r="J15" s="17"/>
      <c r="K15" s="17"/>
      <c r="L15" s="17"/>
      <c r="M15" s="17"/>
    </row>
    <row r="16" spans="1:13" s="1" customFormat="1">
      <c r="A16" s="15" t="s">
        <v>26</v>
      </c>
      <c r="B16" s="16" t="s">
        <v>27</v>
      </c>
      <c r="C16" s="16" t="s">
        <v>28</v>
      </c>
      <c r="D16" s="16" t="s">
        <v>501</v>
      </c>
      <c r="E16" s="16">
        <v>2020</v>
      </c>
      <c r="F16" s="16"/>
      <c r="G16" s="16">
        <v>12</v>
      </c>
      <c r="H16" s="17">
        <v>0.33</v>
      </c>
      <c r="I16" s="17">
        <v>0.31</v>
      </c>
      <c r="J16" s="17">
        <v>0.27</v>
      </c>
      <c r="K16" s="17">
        <v>0.26792732144694853</v>
      </c>
      <c r="L16" s="17">
        <v>0.29261888064479852</v>
      </c>
      <c r="M16" s="17">
        <v>0.27121499500664398</v>
      </c>
    </row>
    <row r="17" spans="1:13" s="1" customFormat="1">
      <c r="A17" s="15"/>
      <c r="B17" s="16" t="s">
        <v>29</v>
      </c>
      <c r="C17" s="16" t="s">
        <v>30</v>
      </c>
      <c r="D17" s="16" t="s">
        <v>501</v>
      </c>
      <c r="E17" s="16">
        <v>2017</v>
      </c>
      <c r="F17" s="16"/>
      <c r="G17" s="16">
        <v>19</v>
      </c>
      <c r="H17" s="17"/>
      <c r="I17" s="17"/>
      <c r="J17" s="17"/>
      <c r="K17" s="17"/>
      <c r="L17" s="17"/>
      <c r="M17" s="17"/>
    </row>
    <row r="18" spans="1:13" s="1" customFormat="1">
      <c r="A18" s="15"/>
      <c r="B18" s="16" t="s">
        <v>31</v>
      </c>
      <c r="C18" s="16" t="s">
        <v>32</v>
      </c>
      <c r="D18" s="16" t="s">
        <v>501</v>
      </c>
      <c r="E18" s="16">
        <v>2016</v>
      </c>
      <c r="F18" s="16"/>
      <c r="G18" s="16">
        <v>19</v>
      </c>
      <c r="H18" s="17"/>
      <c r="I18" s="17"/>
      <c r="J18" s="17"/>
      <c r="K18" s="17"/>
      <c r="L18" s="17"/>
      <c r="M18" s="17"/>
    </row>
    <row r="19" spans="1:13" s="1" customFormat="1">
      <c r="A19" s="15"/>
      <c r="B19" s="16" t="s">
        <v>33</v>
      </c>
      <c r="C19" s="16" t="s">
        <v>34</v>
      </c>
      <c r="D19" s="16" t="s">
        <v>501</v>
      </c>
      <c r="E19" s="16">
        <v>2016</v>
      </c>
      <c r="F19" s="16"/>
      <c r="G19" s="16">
        <v>19</v>
      </c>
      <c r="H19" s="17"/>
      <c r="I19" s="17"/>
      <c r="J19" s="17"/>
      <c r="K19" s="17"/>
      <c r="L19" s="17"/>
      <c r="M19" s="17"/>
    </row>
    <row r="20" spans="1:13" s="1" customFormat="1">
      <c r="A20" s="15"/>
      <c r="B20" s="16" t="s">
        <v>35</v>
      </c>
      <c r="C20" s="16" t="s">
        <v>36</v>
      </c>
      <c r="D20" s="16" t="s">
        <v>501</v>
      </c>
      <c r="E20" s="16">
        <v>2016</v>
      </c>
      <c r="F20" s="16"/>
      <c r="G20" s="16">
        <v>12</v>
      </c>
      <c r="H20" s="17"/>
      <c r="I20" s="17"/>
      <c r="J20" s="17"/>
      <c r="K20" s="17"/>
      <c r="L20" s="17"/>
      <c r="M20" s="17"/>
    </row>
    <row r="21" spans="1:13" s="1" customFormat="1">
      <c r="A21" s="15"/>
      <c r="B21" s="16" t="s">
        <v>37</v>
      </c>
      <c r="C21" s="16" t="s">
        <v>38</v>
      </c>
      <c r="D21" s="16" t="s">
        <v>501</v>
      </c>
      <c r="E21" s="16">
        <v>2013</v>
      </c>
      <c r="F21" s="16"/>
      <c r="G21" s="16">
        <v>19</v>
      </c>
      <c r="H21" s="17"/>
      <c r="I21" s="17"/>
      <c r="J21" s="17"/>
      <c r="K21" s="17"/>
      <c r="L21" s="17"/>
      <c r="M21" s="17"/>
    </row>
    <row r="22" spans="1:13" s="1" customFormat="1">
      <c r="A22" s="15"/>
      <c r="B22" s="16" t="s">
        <v>528</v>
      </c>
      <c r="C22" s="16" t="s">
        <v>546</v>
      </c>
      <c r="D22" s="16" t="s">
        <v>487</v>
      </c>
      <c r="E22" s="16" t="s">
        <v>566</v>
      </c>
      <c r="F22" s="16">
        <v>2023</v>
      </c>
      <c r="G22" s="16">
        <v>19</v>
      </c>
      <c r="H22" s="17"/>
      <c r="I22" s="17"/>
      <c r="J22" s="17"/>
      <c r="K22" s="17"/>
      <c r="L22" s="17"/>
      <c r="M22" s="17"/>
    </row>
    <row r="23" spans="1:13" s="1" customFormat="1">
      <c r="A23" s="15"/>
      <c r="B23" s="16" t="s">
        <v>39</v>
      </c>
      <c r="C23" s="16" t="s">
        <v>40</v>
      </c>
      <c r="D23" s="16" t="s">
        <v>501</v>
      </c>
      <c r="E23" s="16">
        <v>2013</v>
      </c>
      <c r="F23" s="16"/>
      <c r="G23" s="16">
        <v>26</v>
      </c>
      <c r="H23" s="17"/>
      <c r="I23" s="17"/>
      <c r="J23" s="17"/>
      <c r="K23" s="17"/>
      <c r="L23" s="17"/>
      <c r="M23" s="17"/>
    </row>
    <row r="24" spans="1:13" s="1" customFormat="1">
      <c r="A24" s="15"/>
      <c r="B24" s="16" t="s">
        <v>41</v>
      </c>
      <c r="C24" s="16" t="s">
        <v>42</v>
      </c>
      <c r="D24" s="16" t="s">
        <v>501</v>
      </c>
      <c r="E24" s="16">
        <v>2018</v>
      </c>
      <c r="F24" s="16"/>
      <c r="G24" s="16">
        <v>12</v>
      </c>
      <c r="H24" s="17"/>
      <c r="I24" s="17"/>
      <c r="J24" s="17"/>
      <c r="K24" s="17"/>
      <c r="L24" s="17"/>
      <c r="M24" s="17"/>
    </row>
    <row r="25" spans="1:13" s="1" customFormat="1">
      <c r="A25" s="15" t="s">
        <v>43</v>
      </c>
      <c r="B25" s="16" t="s">
        <v>599</v>
      </c>
      <c r="C25" s="16" t="s">
        <v>44</v>
      </c>
      <c r="D25" s="16" t="s">
        <v>508</v>
      </c>
      <c r="E25" s="16" t="s">
        <v>566</v>
      </c>
      <c r="F25" s="16"/>
      <c r="G25" s="16">
        <v>12</v>
      </c>
      <c r="H25" s="17">
        <v>0.21</v>
      </c>
      <c r="I25" s="17">
        <v>0.23</v>
      </c>
      <c r="J25" s="17">
        <v>0.25</v>
      </c>
      <c r="K25" s="17">
        <v>0.2129440503318277</v>
      </c>
      <c r="L25" s="17">
        <v>0.21619916279230264</v>
      </c>
      <c r="M25" s="17">
        <v>0.22281776263100542</v>
      </c>
    </row>
    <row r="26" spans="1:13" s="1" customFormat="1">
      <c r="A26" s="15"/>
      <c r="B26" s="16" t="s">
        <v>600</v>
      </c>
      <c r="C26" s="16" t="s">
        <v>45</v>
      </c>
      <c r="D26" s="16" t="s">
        <v>508</v>
      </c>
      <c r="E26" s="16">
        <v>2021</v>
      </c>
      <c r="F26" s="16"/>
      <c r="G26" s="16">
        <v>12</v>
      </c>
      <c r="H26" s="17"/>
      <c r="I26" s="17"/>
      <c r="J26" s="17"/>
      <c r="K26" s="17"/>
      <c r="L26" s="17"/>
      <c r="M26" s="17"/>
    </row>
    <row r="27" spans="1:13" s="1" customFormat="1">
      <c r="A27" s="15"/>
      <c r="B27" s="16" t="s">
        <v>490</v>
      </c>
      <c r="C27" s="16" t="s">
        <v>46</v>
      </c>
      <c r="D27" s="16" t="s">
        <v>487</v>
      </c>
      <c r="E27" s="16">
        <v>2020</v>
      </c>
      <c r="F27" s="16">
        <v>2024</v>
      </c>
      <c r="G27" s="16">
        <v>12</v>
      </c>
      <c r="H27" s="17"/>
      <c r="I27" s="17"/>
      <c r="J27" s="17"/>
      <c r="K27" s="17"/>
      <c r="L27" s="17"/>
      <c r="M27" s="17"/>
    </row>
    <row r="28" spans="1:13" s="1" customFormat="1">
      <c r="A28" s="15"/>
      <c r="B28" s="16" t="s">
        <v>491</v>
      </c>
      <c r="C28" s="16" t="s">
        <v>47</v>
      </c>
      <c r="D28" s="16" t="s">
        <v>487</v>
      </c>
      <c r="E28" s="16" t="s">
        <v>566</v>
      </c>
      <c r="F28" s="16">
        <v>2024</v>
      </c>
      <c r="G28" s="16">
        <v>19</v>
      </c>
      <c r="H28" s="17"/>
      <c r="I28" s="17"/>
      <c r="J28" s="17"/>
      <c r="K28" s="17"/>
      <c r="L28" s="17"/>
      <c r="M28" s="17"/>
    </row>
    <row r="29" spans="1:13" s="1" customFormat="1">
      <c r="A29" s="15"/>
      <c r="B29" s="16" t="s">
        <v>502</v>
      </c>
      <c r="C29" s="16" t="s">
        <v>48</v>
      </c>
      <c r="D29" s="16" t="s">
        <v>508</v>
      </c>
      <c r="E29" s="16" t="s">
        <v>566</v>
      </c>
      <c r="F29" s="16"/>
      <c r="G29" s="16">
        <v>12</v>
      </c>
      <c r="H29" s="17"/>
      <c r="I29" s="17"/>
      <c r="J29" s="17"/>
      <c r="K29" s="17"/>
      <c r="L29" s="17"/>
      <c r="M29" s="17"/>
    </row>
    <row r="30" spans="1:13" s="1" customFormat="1">
      <c r="A30" s="15"/>
      <c r="B30" s="16" t="s">
        <v>49</v>
      </c>
      <c r="C30" s="16" t="s">
        <v>50</v>
      </c>
      <c r="D30" s="16" t="s">
        <v>501</v>
      </c>
      <c r="E30" s="16">
        <v>2017</v>
      </c>
      <c r="F30" s="16"/>
      <c r="G30" s="16">
        <v>19</v>
      </c>
      <c r="H30" s="17"/>
      <c r="I30" s="17"/>
      <c r="J30" s="17"/>
      <c r="K30" s="17"/>
      <c r="L30" s="17"/>
      <c r="M30" s="17"/>
    </row>
    <row r="31" spans="1:13" s="1" customFormat="1">
      <c r="A31" s="15"/>
      <c r="B31" s="16" t="s">
        <v>504</v>
      </c>
      <c r="C31" s="16" t="s">
        <v>505</v>
      </c>
      <c r="D31" s="16" t="s">
        <v>508</v>
      </c>
      <c r="E31" s="16">
        <v>2024</v>
      </c>
      <c r="F31" s="16"/>
      <c r="G31" s="16">
        <v>12</v>
      </c>
      <c r="H31" s="17"/>
      <c r="I31" s="17"/>
      <c r="J31" s="17"/>
      <c r="K31" s="17"/>
      <c r="L31" s="17"/>
      <c r="M31" s="17"/>
    </row>
    <row r="32" spans="1:13" s="1" customFormat="1">
      <c r="A32" s="15"/>
      <c r="B32" s="16" t="s">
        <v>51</v>
      </c>
      <c r="C32" s="16" t="s">
        <v>52</v>
      </c>
      <c r="D32" s="16" t="s">
        <v>501</v>
      </c>
      <c r="E32" s="16">
        <v>2016</v>
      </c>
      <c r="F32" s="16"/>
      <c r="G32" s="16">
        <v>26</v>
      </c>
      <c r="H32" s="17"/>
      <c r="I32" s="17"/>
      <c r="J32" s="17"/>
      <c r="K32" s="17"/>
      <c r="L32" s="17"/>
      <c r="M32" s="17"/>
    </row>
    <row r="33" spans="1:13" s="1" customFormat="1">
      <c r="A33" s="15"/>
      <c r="B33" s="16" t="s">
        <v>503</v>
      </c>
      <c r="C33" s="16" t="s">
        <v>53</v>
      </c>
      <c r="D33" s="16" t="s">
        <v>508</v>
      </c>
      <c r="E33" s="16">
        <v>2022</v>
      </c>
      <c r="F33" s="16"/>
      <c r="G33" s="16">
        <v>12</v>
      </c>
      <c r="H33" s="17"/>
      <c r="I33" s="17"/>
      <c r="J33" s="17"/>
      <c r="K33" s="17"/>
      <c r="L33" s="17"/>
      <c r="M33" s="17"/>
    </row>
    <row r="34" spans="1:13" s="1" customFormat="1">
      <c r="A34" s="15"/>
      <c r="B34" s="16" t="s">
        <v>54</v>
      </c>
      <c r="C34" s="16" t="s">
        <v>55</v>
      </c>
      <c r="D34" s="16" t="s">
        <v>501</v>
      </c>
      <c r="E34" s="16">
        <v>2018</v>
      </c>
      <c r="F34" s="16"/>
      <c r="G34" s="16">
        <v>12</v>
      </c>
      <c r="H34" s="17"/>
      <c r="I34" s="17"/>
      <c r="J34" s="17"/>
      <c r="K34" s="17"/>
      <c r="L34" s="17"/>
      <c r="M34" s="17"/>
    </row>
    <row r="35" spans="1:13" s="1" customFormat="1">
      <c r="A35" s="15" t="s">
        <v>56</v>
      </c>
      <c r="B35" s="16" t="s">
        <v>57</v>
      </c>
      <c r="C35" s="16" t="s">
        <v>58</v>
      </c>
      <c r="D35" s="16" t="s">
        <v>501</v>
      </c>
      <c r="E35" s="16">
        <v>2019</v>
      </c>
      <c r="F35" s="16"/>
      <c r="G35" s="16">
        <v>12</v>
      </c>
      <c r="H35" s="17">
        <v>0.31</v>
      </c>
      <c r="I35" s="17">
        <v>0.3</v>
      </c>
      <c r="J35" s="17">
        <v>0.28000000000000003</v>
      </c>
      <c r="K35" s="17">
        <v>0.29034198861343169</v>
      </c>
      <c r="L35" s="17">
        <v>0.26708444554818789</v>
      </c>
      <c r="M35" s="17">
        <v>0.26585552886160174</v>
      </c>
    </row>
    <row r="36" spans="1:13" s="1" customFormat="1">
      <c r="A36" s="15"/>
      <c r="B36" s="16" t="s">
        <v>59</v>
      </c>
      <c r="C36" s="16" t="s">
        <v>60</v>
      </c>
      <c r="D36" s="16" t="s">
        <v>501</v>
      </c>
      <c r="E36" s="16">
        <v>2021</v>
      </c>
      <c r="F36" s="16"/>
      <c r="G36" s="16">
        <v>19</v>
      </c>
      <c r="H36" s="17"/>
      <c r="I36" s="17"/>
      <c r="J36" s="17"/>
      <c r="K36" s="17"/>
      <c r="L36" s="17"/>
      <c r="M36" s="17"/>
    </row>
    <row r="37" spans="1:13" s="1" customFormat="1">
      <c r="A37" s="15"/>
      <c r="B37" s="16" t="s">
        <v>506</v>
      </c>
      <c r="C37" s="16" t="s">
        <v>61</v>
      </c>
      <c r="D37" s="16" t="s">
        <v>508</v>
      </c>
      <c r="E37" s="16">
        <v>2022</v>
      </c>
      <c r="F37" s="16"/>
      <c r="G37" s="16">
        <v>12</v>
      </c>
      <c r="H37" s="17"/>
      <c r="I37" s="17"/>
      <c r="J37" s="17"/>
      <c r="K37" s="17"/>
      <c r="L37" s="17"/>
      <c r="M37" s="17"/>
    </row>
    <row r="38" spans="1:13" s="1" customFormat="1">
      <c r="A38" s="15"/>
      <c r="B38" s="16" t="s">
        <v>507</v>
      </c>
      <c r="C38" s="16" t="s">
        <v>62</v>
      </c>
      <c r="D38" s="16" t="s">
        <v>508</v>
      </c>
      <c r="E38" s="16" t="s">
        <v>566</v>
      </c>
      <c r="F38" s="16"/>
      <c r="G38" s="16">
        <v>19</v>
      </c>
      <c r="H38" s="17"/>
      <c r="I38" s="17"/>
      <c r="J38" s="17"/>
      <c r="K38" s="17"/>
      <c r="L38" s="17"/>
      <c r="M38" s="17"/>
    </row>
    <row r="39" spans="1:13" s="1" customFormat="1">
      <c r="A39" s="15"/>
      <c r="B39" s="16" t="s">
        <v>63</v>
      </c>
      <c r="C39" s="16" t="s">
        <v>64</v>
      </c>
      <c r="D39" s="16" t="s">
        <v>487</v>
      </c>
      <c r="E39" s="16">
        <v>2017</v>
      </c>
      <c r="F39" s="16">
        <v>2023</v>
      </c>
      <c r="G39" s="16">
        <v>19</v>
      </c>
      <c r="H39" s="17"/>
      <c r="I39" s="17"/>
      <c r="J39" s="17"/>
      <c r="K39" s="17"/>
      <c r="L39" s="17"/>
      <c r="M39" s="17"/>
    </row>
    <row r="40" spans="1:13" s="1" customFormat="1">
      <c r="A40" s="15"/>
      <c r="B40" s="16" t="s">
        <v>65</v>
      </c>
      <c r="C40" s="16" t="s">
        <v>66</v>
      </c>
      <c r="D40" s="16" t="s">
        <v>501</v>
      </c>
      <c r="E40" s="16">
        <v>2017</v>
      </c>
      <c r="F40" s="16"/>
      <c r="G40" s="16">
        <v>19</v>
      </c>
      <c r="H40" s="17"/>
      <c r="I40" s="17"/>
      <c r="J40" s="17"/>
      <c r="K40" s="17"/>
      <c r="L40" s="17"/>
      <c r="M40" s="17"/>
    </row>
    <row r="41" spans="1:13" s="1" customFormat="1">
      <c r="A41" s="15"/>
      <c r="B41" s="16" t="s">
        <v>67</v>
      </c>
      <c r="C41" s="16" t="s">
        <v>68</v>
      </c>
      <c r="D41" s="16" t="s">
        <v>501</v>
      </c>
      <c r="E41" s="16">
        <v>2016</v>
      </c>
      <c r="F41" s="16"/>
      <c r="G41" s="16">
        <v>19</v>
      </c>
      <c r="H41" s="17"/>
      <c r="I41" s="17"/>
      <c r="J41" s="17"/>
      <c r="K41" s="17"/>
      <c r="L41" s="17"/>
      <c r="M41" s="17"/>
    </row>
    <row r="42" spans="1:13" s="1" customFormat="1">
      <c r="A42" s="15"/>
      <c r="B42" s="16" t="s">
        <v>69</v>
      </c>
      <c r="C42" s="16" t="s">
        <v>70</v>
      </c>
      <c r="D42" s="16" t="s">
        <v>501</v>
      </c>
      <c r="E42" s="16">
        <v>2016</v>
      </c>
      <c r="F42" s="16"/>
      <c r="G42" s="16">
        <v>19</v>
      </c>
      <c r="H42" s="17"/>
      <c r="I42" s="17"/>
      <c r="J42" s="17"/>
      <c r="K42" s="17"/>
      <c r="L42" s="17"/>
      <c r="M42" s="17"/>
    </row>
    <row r="43" spans="1:13" s="1" customFormat="1">
      <c r="A43" s="15"/>
      <c r="B43" s="16" t="s">
        <v>71</v>
      </c>
      <c r="C43" s="16" t="s">
        <v>72</v>
      </c>
      <c r="D43" s="16" t="s">
        <v>501</v>
      </c>
      <c r="E43" s="16">
        <v>2016</v>
      </c>
      <c r="F43" s="16"/>
      <c r="G43" s="16">
        <v>19</v>
      </c>
      <c r="H43" s="17"/>
      <c r="I43" s="17"/>
      <c r="J43" s="17"/>
      <c r="K43" s="17"/>
      <c r="L43" s="17"/>
      <c r="M43" s="17"/>
    </row>
    <row r="44" spans="1:13" s="1" customFormat="1">
      <c r="A44" s="15"/>
      <c r="B44" s="16" t="s">
        <v>73</v>
      </c>
      <c r="C44" s="16" t="s">
        <v>74</v>
      </c>
      <c r="D44" s="16" t="s">
        <v>501</v>
      </c>
      <c r="E44" s="16">
        <v>2015</v>
      </c>
      <c r="F44" s="16"/>
      <c r="G44" s="16">
        <v>19</v>
      </c>
      <c r="H44" s="17"/>
      <c r="I44" s="17"/>
      <c r="J44" s="17"/>
      <c r="K44" s="17"/>
      <c r="L44" s="17"/>
      <c r="M44" s="17"/>
    </row>
    <row r="45" spans="1:13" s="1" customFormat="1">
      <c r="A45" s="15"/>
      <c r="B45" s="16" t="s">
        <v>75</v>
      </c>
      <c r="C45" s="16" t="s">
        <v>76</v>
      </c>
      <c r="D45" s="16" t="s">
        <v>501</v>
      </c>
      <c r="E45" s="16">
        <v>2014</v>
      </c>
      <c r="F45" s="16"/>
      <c r="G45" s="16">
        <v>19</v>
      </c>
      <c r="H45" s="17"/>
      <c r="I45" s="17"/>
      <c r="J45" s="17"/>
      <c r="K45" s="17"/>
      <c r="L45" s="17"/>
      <c r="M45" s="17"/>
    </row>
    <row r="46" spans="1:13" s="1" customFormat="1">
      <c r="A46" s="15"/>
      <c r="B46" s="16" t="s">
        <v>77</v>
      </c>
      <c r="C46" s="16" t="s">
        <v>78</v>
      </c>
      <c r="D46" s="16" t="s">
        <v>501</v>
      </c>
      <c r="E46" s="16">
        <v>2014</v>
      </c>
      <c r="F46" s="16"/>
      <c r="G46" s="16">
        <v>26</v>
      </c>
      <c r="H46" s="17"/>
      <c r="I46" s="17"/>
      <c r="J46" s="17"/>
      <c r="K46" s="17"/>
      <c r="L46" s="17"/>
      <c r="M46" s="17"/>
    </row>
    <row r="47" spans="1:13" s="1" customFormat="1">
      <c r="A47" s="15"/>
      <c r="B47" s="16" t="s">
        <v>79</v>
      </c>
      <c r="C47" s="16" t="s">
        <v>80</v>
      </c>
      <c r="D47" s="16" t="s">
        <v>501</v>
      </c>
      <c r="E47" s="16">
        <v>2018</v>
      </c>
      <c r="F47" s="16"/>
      <c r="G47" s="16">
        <v>12</v>
      </c>
      <c r="H47" s="17"/>
      <c r="I47" s="17"/>
      <c r="J47" s="17"/>
      <c r="K47" s="17"/>
      <c r="L47" s="17"/>
      <c r="M47" s="17"/>
    </row>
    <row r="48" spans="1:13" s="1" customFormat="1">
      <c r="A48" s="15"/>
      <c r="B48" s="16" t="s">
        <v>529</v>
      </c>
      <c r="C48" s="16" t="s">
        <v>547</v>
      </c>
      <c r="D48" s="16" t="s">
        <v>487</v>
      </c>
      <c r="E48" s="16">
        <v>2019</v>
      </c>
      <c r="F48" s="16">
        <v>2023</v>
      </c>
      <c r="G48" s="16"/>
      <c r="H48" s="17"/>
      <c r="I48" s="17"/>
      <c r="J48" s="17"/>
      <c r="K48" s="17"/>
      <c r="L48" s="17"/>
      <c r="M48" s="17"/>
    </row>
    <row r="49" spans="1:13" s="1" customFormat="1">
      <c r="A49" s="15"/>
      <c r="B49" s="16" t="s">
        <v>81</v>
      </c>
      <c r="C49" s="16" t="s">
        <v>82</v>
      </c>
      <c r="D49" s="16" t="s">
        <v>501</v>
      </c>
      <c r="E49" s="16">
        <v>2018</v>
      </c>
      <c r="F49" s="16"/>
      <c r="G49" s="16">
        <v>12</v>
      </c>
      <c r="H49" s="17"/>
      <c r="I49" s="17"/>
      <c r="J49" s="17"/>
      <c r="K49" s="17"/>
      <c r="L49" s="17"/>
      <c r="M49" s="17"/>
    </row>
    <row r="50" spans="1:13" s="1" customFormat="1" ht="15.75" customHeight="1">
      <c r="A50" s="15" t="s">
        <v>83</v>
      </c>
      <c r="B50" s="16" t="s">
        <v>84</v>
      </c>
      <c r="C50" s="16" t="s">
        <v>85</v>
      </c>
      <c r="D50" s="16" t="s">
        <v>501</v>
      </c>
      <c r="E50" s="16">
        <v>2019</v>
      </c>
      <c r="F50" s="16"/>
      <c r="G50" s="16">
        <v>19</v>
      </c>
      <c r="H50" s="17">
        <v>0.28000000000000003</v>
      </c>
      <c r="I50" s="17">
        <v>0.24</v>
      </c>
      <c r="J50" s="17">
        <v>0.28999999999999998</v>
      </c>
      <c r="K50" s="17">
        <v>0.33403281380020883</v>
      </c>
      <c r="L50" s="17">
        <v>0.27775828740758707</v>
      </c>
      <c r="M50" s="17">
        <v>0.31702856038117078</v>
      </c>
    </row>
    <row r="51" spans="1:13" s="1" customFormat="1">
      <c r="A51" s="15"/>
      <c r="B51" s="16" t="s">
        <v>86</v>
      </c>
      <c r="C51" s="16" t="s">
        <v>87</v>
      </c>
      <c r="D51" s="16" t="s">
        <v>508</v>
      </c>
      <c r="E51" s="16">
        <v>2022</v>
      </c>
      <c r="F51" s="16"/>
      <c r="G51" s="16">
        <v>12</v>
      </c>
      <c r="H51" s="17"/>
      <c r="I51" s="17"/>
      <c r="J51" s="17"/>
      <c r="K51" s="17"/>
      <c r="L51" s="17"/>
      <c r="M51" s="17"/>
    </row>
    <row r="52" spans="1:13" s="1" customFormat="1">
      <c r="A52" s="15"/>
      <c r="B52" s="16" t="s">
        <v>88</v>
      </c>
      <c r="C52" s="16" t="s">
        <v>89</v>
      </c>
      <c r="D52" s="16" t="s">
        <v>486</v>
      </c>
      <c r="E52" s="16">
        <v>2019</v>
      </c>
      <c r="F52" s="16">
        <v>2026</v>
      </c>
      <c r="G52" s="16">
        <v>12</v>
      </c>
      <c r="H52" s="17"/>
      <c r="I52" s="17"/>
      <c r="J52" s="17"/>
      <c r="K52" s="17"/>
      <c r="L52" s="17"/>
      <c r="M52" s="17"/>
    </row>
    <row r="53" spans="1:13" s="1" customFormat="1">
      <c r="A53" s="15"/>
      <c r="B53" s="16" t="s">
        <v>492</v>
      </c>
      <c r="C53" s="16" t="s">
        <v>90</v>
      </c>
      <c r="D53" s="16" t="s">
        <v>487</v>
      </c>
      <c r="E53" s="16">
        <v>2017</v>
      </c>
      <c r="F53" s="16">
        <v>2024</v>
      </c>
      <c r="G53" s="16">
        <v>19</v>
      </c>
      <c r="H53" s="17"/>
      <c r="I53" s="17"/>
      <c r="J53" s="17"/>
      <c r="K53" s="17"/>
      <c r="L53" s="17"/>
      <c r="M53" s="17"/>
    </row>
    <row r="54" spans="1:13" s="1" customFormat="1">
      <c r="A54" s="15"/>
      <c r="B54" s="16" t="s">
        <v>91</v>
      </c>
      <c r="C54" s="16" t="s">
        <v>92</v>
      </c>
      <c r="D54" s="16" t="s">
        <v>501</v>
      </c>
      <c r="E54" s="16">
        <v>2017</v>
      </c>
      <c r="F54" s="16"/>
      <c r="G54" s="16">
        <v>19</v>
      </c>
      <c r="H54" s="17"/>
      <c r="I54" s="17"/>
      <c r="J54" s="17"/>
      <c r="K54" s="17"/>
      <c r="L54" s="17"/>
      <c r="M54" s="17"/>
    </row>
    <row r="55" spans="1:13" s="1" customFormat="1">
      <c r="A55" s="15"/>
      <c r="B55" s="16" t="s">
        <v>93</v>
      </c>
      <c r="C55" s="16" t="s">
        <v>94</v>
      </c>
      <c r="D55" s="16" t="s">
        <v>501</v>
      </c>
      <c r="E55" s="16">
        <v>2016</v>
      </c>
      <c r="F55" s="16"/>
      <c r="G55" s="16">
        <v>19</v>
      </c>
      <c r="H55" s="17"/>
      <c r="I55" s="17"/>
      <c r="J55" s="17"/>
      <c r="K55" s="17"/>
      <c r="L55" s="17"/>
      <c r="M55" s="17"/>
    </row>
    <row r="56" spans="1:13" s="1" customFormat="1">
      <c r="A56" s="15"/>
      <c r="B56" s="16" t="s">
        <v>530</v>
      </c>
      <c r="C56" s="16" t="s">
        <v>548</v>
      </c>
      <c r="D56" s="16" t="s">
        <v>487</v>
      </c>
      <c r="E56" s="16">
        <v>2016</v>
      </c>
      <c r="F56" s="16">
        <v>2023</v>
      </c>
      <c r="G56" s="16">
        <v>19</v>
      </c>
      <c r="H56" s="17"/>
      <c r="I56" s="17"/>
      <c r="J56" s="17"/>
      <c r="K56" s="17"/>
      <c r="L56" s="17"/>
      <c r="M56" s="17"/>
    </row>
    <row r="57" spans="1:13" s="1" customFormat="1">
      <c r="A57" s="15"/>
      <c r="B57" s="16" t="s">
        <v>95</v>
      </c>
      <c r="C57" s="16" t="s">
        <v>96</v>
      </c>
      <c r="D57" s="16" t="s">
        <v>501</v>
      </c>
      <c r="E57" s="16">
        <v>2016</v>
      </c>
      <c r="F57" s="16"/>
      <c r="G57" s="16">
        <v>12</v>
      </c>
      <c r="H57" s="17"/>
      <c r="I57" s="17"/>
      <c r="J57" s="17"/>
      <c r="K57" s="17"/>
      <c r="L57" s="17"/>
      <c r="M57" s="17"/>
    </row>
    <row r="58" spans="1:13" s="1" customFormat="1">
      <c r="A58" s="15"/>
      <c r="B58" s="16" t="s">
        <v>97</v>
      </c>
      <c r="C58" s="16" t="s">
        <v>98</v>
      </c>
      <c r="D58" s="16" t="s">
        <v>501</v>
      </c>
      <c r="E58" s="16">
        <v>2015</v>
      </c>
      <c r="F58" s="16"/>
      <c r="G58" s="16">
        <v>19</v>
      </c>
      <c r="H58" s="17"/>
      <c r="I58" s="17"/>
      <c r="J58" s="17"/>
      <c r="K58" s="17"/>
      <c r="L58" s="17"/>
      <c r="M58" s="17"/>
    </row>
    <row r="59" spans="1:13" s="1" customFormat="1">
      <c r="A59" s="15"/>
      <c r="B59" s="16" t="s">
        <v>99</v>
      </c>
      <c r="C59" s="16" t="s">
        <v>100</v>
      </c>
      <c r="D59" s="16" t="s">
        <v>501</v>
      </c>
      <c r="E59" s="16">
        <v>2013</v>
      </c>
      <c r="F59" s="16"/>
      <c r="G59" s="16">
        <v>19</v>
      </c>
      <c r="H59" s="17"/>
      <c r="I59" s="17"/>
      <c r="J59" s="17"/>
      <c r="K59" s="17"/>
      <c r="L59" s="17"/>
      <c r="M59" s="17"/>
    </row>
    <row r="60" spans="1:13" s="1" customFormat="1">
      <c r="A60" s="15"/>
      <c r="B60" s="16" t="s">
        <v>101</v>
      </c>
      <c r="C60" s="16" t="s">
        <v>102</v>
      </c>
      <c r="D60" s="16" t="s">
        <v>501</v>
      </c>
      <c r="E60" s="16">
        <v>2013</v>
      </c>
      <c r="F60" s="16"/>
      <c r="G60" s="16">
        <v>26</v>
      </c>
      <c r="H60" s="17"/>
      <c r="I60" s="17"/>
      <c r="J60" s="17"/>
      <c r="K60" s="17"/>
      <c r="L60" s="17"/>
      <c r="M60" s="17"/>
    </row>
    <row r="61" spans="1:13" s="1" customFormat="1">
      <c r="A61" s="15"/>
      <c r="B61" s="16" t="s">
        <v>103</v>
      </c>
      <c r="C61" s="16" t="s">
        <v>104</v>
      </c>
      <c r="D61" s="16" t="s">
        <v>501</v>
      </c>
      <c r="E61" s="16">
        <v>2022</v>
      </c>
      <c r="F61" s="16"/>
      <c r="G61" s="16">
        <v>12</v>
      </c>
      <c r="H61" s="17"/>
      <c r="I61" s="17"/>
      <c r="J61" s="17"/>
      <c r="K61" s="17"/>
      <c r="L61" s="17"/>
      <c r="M61" s="17"/>
    </row>
    <row r="62" spans="1:13" s="1" customFormat="1">
      <c r="A62" s="15" t="s">
        <v>105</v>
      </c>
      <c r="B62" s="16" t="s">
        <v>493</v>
      </c>
      <c r="C62" s="16" t="s">
        <v>106</v>
      </c>
      <c r="D62" s="16" t="s">
        <v>487</v>
      </c>
      <c r="E62" s="16">
        <v>2021</v>
      </c>
      <c r="F62" s="16">
        <v>2024</v>
      </c>
      <c r="G62" s="16">
        <v>19</v>
      </c>
      <c r="H62" s="17">
        <v>0.28000000000000003</v>
      </c>
      <c r="I62" s="17">
        <v>0.26</v>
      </c>
      <c r="J62" s="17">
        <v>0.3</v>
      </c>
      <c r="K62" s="17">
        <v>0.34701437417320563</v>
      </c>
      <c r="L62" s="17">
        <v>0.29120517161264192</v>
      </c>
      <c r="M62" s="17">
        <v>0.33089361151330593</v>
      </c>
    </row>
    <row r="63" spans="1:13" s="1" customFormat="1">
      <c r="A63" s="15"/>
      <c r="B63" s="16" t="s">
        <v>107</v>
      </c>
      <c r="C63" s="16" t="s">
        <v>108</v>
      </c>
      <c r="D63" s="16" t="s">
        <v>501</v>
      </c>
      <c r="E63" s="16">
        <v>2016</v>
      </c>
      <c r="F63" s="16"/>
      <c r="G63" s="16">
        <v>19</v>
      </c>
      <c r="H63" s="17"/>
      <c r="I63" s="17"/>
      <c r="J63" s="17"/>
      <c r="K63" s="17"/>
      <c r="L63" s="17"/>
      <c r="M63" s="17"/>
    </row>
    <row r="64" spans="1:13" s="1" customFormat="1">
      <c r="A64" s="15"/>
      <c r="B64" s="16" t="s">
        <v>109</v>
      </c>
      <c r="C64" s="16" t="s">
        <v>110</v>
      </c>
      <c r="D64" s="16" t="s">
        <v>501</v>
      </c>
      <c r="E64" s="16">
        <v>2014</v>
      </c>
      <c r="F64" s="16"/>
      <c r="G64" s="16">
        <v>19</v>
      </c>
      <c r="H64" s="17"/>
      <c r="I64" s="17"/>
      <c r="J64" s="17"/>
      <c r="K64" s="17"/>
      <c r="L64" s="17"/>
      <c r="M64" s="17"/>
    </row>
    <row r="65" spans="1:13" s="1" customFormat="1">
      <c r="A65" s="15"/>
      <c r="B65" s="16" t="s">
        <v>111</v>
      </c>
      <c r="C65" s="16" t="s">
        <v>112</v>
      </c>
      <c r="D65" s="16" t="s">
        <v>501</v>
      </c>
      <c r="E65" s="16">
        <v>2013</v>
      </c>
      <c r="F65" s="16"/>
      <c r="G65" s="16">
        <v>33</v>
      </c>
      <c r="H65" s="17"/>
      <c r="I65" s="17"/>
      <c r="J65" s="17"/>
      <c r="K65" s="17"/>
      <c r="L65" s="17"/>
      <c r="M65" s="17"/>
    </row>
    <row r="66" spans="1:13" s="1" customFormat="1">
      <c r="A66" s="15"/>
      <c r="B66" s="16" t="s">
        <v>113</v>
      </c>
      <c r="C66" s="16" t="s">
        <v>114</v>
      </c>
      <c r="D66" s="16" t="s">
        <v>501</v>
      </c>
      <c r="E66" s="16">
        <v>2023</v>
      </c>
      <c r="F66" s="16"/>
      <c r="G66" s="16">
        <v>19</v>
      </c>
      <c r="H66" s="17"/>
      <c r="I66" s="17"/>
      <c r="J66" s="17"/>
      <c r="K66" s="17"/>
      <c r="L66" s="17"/>
      <c r="M66" s="17"/>
    </row>
    <row r="67" spans="1:13" s="1" customFormat="1">
      <c r="A67" s="15"/>
      <c r="B67" s="16" t="s">
        <v>509</v>
      </c>
      <c r="C67" s="16" t="s">
        <v>115</v>
      </c>
      <c r="D67" s="16" t="s">
        <v>508</v>
      </c>
      <c r="E67" s="16" t="s">
        <v>566</v>
      </c>
      <c r="F67" s="16"/>
      <c r="G67" s="16">
        <v>19</v>
      </c>
      <c r="H67" s="17"/>
      <c r="I67" s="17"/>
      <c r="J67" s="17"/>
      <c r="K67" s="17"/>
      <c r="L67" s="17"/>
      <c r="M67" s="17"/>
    </row>
    <row r="68" spans="1:13" s="1" customFormat="1">
      <c r="A68" s="15" t="s">
        <v>116</v>
      </c>
      <c r="B68" s="16" t="s">
        <v>117</v>
      </c>
      <c r="C68" s="16" t="s">
        <v>118</v>
      </c>
      <c r="D68" s="16" t="s">
        <v>501</v>
      </c>
      <c r="E68" s="16">
        <v>2019</v>
      </c>
      <c r="F68" s="16"/>
      <c r="G68" s="16">
        <v>12</v>
      </c>
      <c r="H68" s="17">
        <v>0.34</v>
      </c>
      <c r="I68" s="17">
        <v>0.31</v>
      </c>
      <c r="J68" s="17">
        <v>0.28999999999999998</v>
      </c>
      <c r="K68" s="17">
        <v>0.29702411758950276</v>
      </c>
      <c r="L68" s="17">
        <v>0.31189721756227484</v>
      </c>
      <c r="M68" s="17">
        <v>0.30389024897593447</v>
      </c>
    </row>
    <row r="69" spans="1:13" s="1" customFormat="1">
      <c r="A69" s="15"/>
      <c r="B69" s="16" t="s">
        <v>510</v>
      </c>
      <c r="C69" s="16" t="s">
        <v>119</v>
      </c>
      <c r="D69" s="16" t="s">
        <v>487</v>
      </c>
      <c r="E69" s="16">
        <v>2022</v>
      </c>
      <c r="F69" s="16">
        <v>2026</v>
      </c>
      <c r="G69" s="16">
        <v>19</v>
      </c>
      <c r="H69" s="17"/>
      <c r="I69" s="17"/>
      <c r="J69" s="17"/>
      <c r="K69" s="17"/>
      <c r="L69" s="17"/>
      <c r="M69" s="17"/>
    </row>
    <row r="70" spans="1:13" s="1" customFormat="1">
      <c r="A70" s="15"/>
      <c r="B70" s="16" t="s">
        <v>543</v>
      </c>
      <c r="C70" s="16" t="s">
        <v>549</v>
      </c>
      <c r="D70" s="16" t="s">
        <v>508</v>
      </c>
      <c r="E70" s="16">
        <v>2026</v>
      </c>
      <c r="F70" s="16"/>
      <c r="G70" s="16">
        <v>19</v>
      </c>
      <c r="H70" s="17"/>
      <c r="I70" s="17"/>
      <c r="J70" s="17"/>
      <c r="K70" s="17"/>
      <c r="L70" s="17"/>
      <c r="M70" s="17"/>
    </row>
    <row r="71" spans="1:13" s="1" customFormat="1">
      <c r="A71" s="15"/>
      <c r="B71" s="16" t="s">
        <v>120</v>
      </c>
      <c r="C71" s="16" t="s">
        <v>121</v>
      </c>
      <c r="D71" s="16" t="s">
        <v>501</v>
      </c>
      <c r="E71" s="16">
        <v>2020</v>
      </c>
      <c r="F71" s="16"/>
      <c r="G71" s="16">
        <v>12</v>
      </c>
      <c r="H71" s="17"/>
      <c r="I71" s="17"/>
      <c r="J71" s="17"/>
      <c r="K71" s="17"/>
      <c r="L71" s="17"/>
      <c r="M71" s="17"/>
    </row>
    <row r="72" spans="1:13" s="1" customFormat="1">
      <c r="A72" s="15"/>
      <c r="B72" s="16" t="s">
        <v>122</v>
      </c>
      <c r="C72" s="16" t="s">
        <v>123</v>
      </c>
      <c r="D72" s="16" t="s">
        <v>501</v>
      </c>
      <c r="E72" s="16">
        <v>2017</v>
      </c>
      <c r="F72" s="16"/>
      <c r="G72" s="16">
        <v>19</v>
      </c>
      <c r="H72" s="17"/>
      <c r="I72" s="17"/>
      <c r="J72" s="17"/>
      <c r="K72" s="17"/>
      <c r="L72" s="17"/>
      <c r="M72" s="17"/>
    </row>
    <row r="73" spans="1:13" s="1" customFormat="1">
      <c r="A73" s="15"/>
      <c r="B73" s="16" t="s">
        <v>124</v>
      </c>
      <c r="C73" s="16" t="s">
        <v>125</v>
      </c>
      <c r="D73" s="16" t="s">
        <v>501</v>
      </c>
      <c r="E73" s="16">
        <v>2016</v>
      </c>
      <c r="F73" s="16"/>
      <c r="G73" s="16">
        <v>19</v>
      </c>
      <c r="H73" s="17"/>
      <c r="I73" s="17"/>
      <c r="J73" s="17"/>
      <c r="K73" s="17"/>
      <c r="L73" s="17"/>
      <c r="M73" s="17"/>
    </row>
    <row r="74" spans="1:13" s="1" customFormat="1">
      <c r="A74" s="15"/>
      <c r="B74" s="16" t="s">
        <v>126</v>
      </c>
      <c r="C74" s="16" t="s">
        <v>127</v>
      </c>
      <c r="D74" s="16" t="s">
        <v>501</v>
      </c>
      <c r="E74" s="16">
        <v>2015</v>
      </c>
      <c r="F74" s="16"/>
      <c r="G74" s="16">
        <v>19</v>
      </c>
      <c r="H74" s="17"/>
      <c r="I74" s="17"/>
      <c r="J74" s="17"/>
      <c r="K74" s="17"/>
      <c r="L74" s="17"/>
      <c r="M74" s="17"/>
    </row>
    <row r="75" spans="1:13" s="1" customFormat="1">
      <c r="A75" s="15"/>
      <c r="B75" s="16" t="s">
        <v>531</v>
      </c>
      <c r="C75" s="16" t="s">
        <v>550</v>
      </c>
      <c r="D75" s="16" t="s">
        <v>487</v>
      </c>
      <c r="E75" s="16">
        <v>2018</v>
      </c>
      <c r="F75" s="16">
        <v>2023</v>
      </c>
      <c r="G75" s="16">
        <v>12</v>
      </c>
      <c r="H75" s="17"/>
      <c r="I75" s="17"/>
      <c r="J75" s="17"/>
      <c r="K75" s="17"/>
      <c r="L75" s="17"/>
      <c r="M75" s="17"/>
    </row>
    <row r="76" spans="1:13" s="1" customFormat="1">
      <c r="A76" s="15"/>
      <c r="B76" s="16" t="s">
        <v>128</v>
      </c>
      <c r="C76" s="16" t="s">
        <v>129</v>
      </c>
      <c r="D76" s="16" t="s">
        <v>501</v>
      </c>
      <c r="E76" s="16">
        <v>2014</v>
      </c>
      <c r="F76" s="16"/>
      <c r="G76" s="16">
        <v>19</v>
      </c>
      <c r="H76" s="17"/>
      <c r="I76" s="17"/>
      <c r="J76" s="17"/>
      <c r="K76" s="17"/>
      <c r="L76" s="17"/>
      <c r="M76" s="17"/>
    </row>
    <row r="77" spans="1:13" s="1" customFormat="1">
      <c r="A77" s="15"/>
      <c r="B77" s="16" t="s">
        <v>130</v>
      </c>
      <c r="C77" s="16" t="s">
        <v>131</v>
      </c>
      <c r="D77" s="16" t="s">
        <v>501</v>
      </c>
      <c r="E77" s="16">
        <v>2014</v>
      </c>
      <c r="F77" s="16"/>
      <c r="G77" s="16">
        <v>19</v>
      </c>
      <c r="H77" s="17"/>
      <c r="I77" s="17"/>
      <c r="J77" s="17"/>
      <c r="K77" s="17"/>
      <c r="L77" s="17"/>
      <c r="M77" s="17"/>
    </row>
    <row r="78" spans="1:13" s="1" customFormat="1">
      <c r="A78" s="15" t="s">
        <v>132</v>
      </c>
      <c r="B78" s="16" t="s">
        <v>511</v>
      </c>
      <c r="C78" s="16" t="s">
        <v>133</v>
      </c>
      <c r="D78" s="16" t="s">
        <v>508</v>
      </c>
      <c r="E78" s="16" t="s">
        <v>566</v>
      </c>
      <c r="F78" s="16"/>
      <c r="G78" s="16">
        <v>19</v>
      </c>
      <c r="H78" s="17">
        <v>0.42</v>
      </c>
      <c r="I78" s="17">
        <v>0.41</v>
      </c>
      <c r="J78" s="17">
        <v>0.4</v>
      </c>
      <c r="K78" s="17">
        <v>0.41212901827866916</v>
      </c>
      <c r="L78" s="17">
        <v>0.44459002322360319</v>
      </c>
      <c r="M78" s="17">
        <v>0.42656048637585142</v>
      </c>
    </row>
    <row r="79" spans="1:13" s="1" customFormat="1">
      <c r="A79" s="15"/>
      <c r="B79" s="16" t="s">
        <v>494</v>
      </c>
      <c r="C79" s="16" t="s">
        <v>134</v>
      </c>
      <c r="D79" s="16" t="s">
        <v>487</v>
      </c>
      <c r="E79" s="16">
        <v>2017</v>
      </c>
      <c r="F79" s="16">
        <v>2024</v>
      </c>
      <c r="G79" s="16">
        <v>19</v>
      </c>
      <c r="H79" s="17"/>
      <c r="I79" s="17"/>
      <c r="J79" s="17"/>
      <c r="K79" s="17"/>
      <c r="L79" s="17"/>
      <c r="M79" s="17"/>
    </row>
    <row r="80" spans="1:13" s="1" customFormat="1">
      <c r="A80" s="15"/>
      <c r="B80" s="16" t="s">
        <v>135</v>
      </c>
      <c r="C80" s="16" t="s">
        <v>136</v>
      </c>
      <c r="D80" s="16" t="s">
        <v>501</v>
      </c>
      <c r="E80" s="16">
        <v>2016</v>
      </c>
      <c r="F80" s="16"/>
      <c r="G80" s="16">
        <v>19</v>
      </c>
      <c r="H80" s="17"/>
      <c r="I80" s="17"/>
      <c r="J80" s="17"/>
      <c r="K80" s="17"/>
      <c r="L80" s="17"/>
      <c r="M80" s="17"/>
    </row>
    <row r="81" spans="1:13" s="1" customFormat="1">
      <c r="A81" s="15"/>
      <c r="B81" s="16" t="s">
        <v>137</v>
      </c>
      <c r="C81" s="16" t="s">
        <v>138</v>
      </c>
      <c r="D81" s="16" t="s">
        <v>486</v>
      </c>
      <c r="E81" s="16">
        <v>2016</v>
      </c>
      <c r="F81" s="16">
        <v>2025</v>
      </c>
      <c r="G81" s="16">
        <v>19</v>
      </c>
      <c r="H81" s="17"/>
      <c r="I81" s="17"/>
      <c r="J81" s="17"/>
      <c r="K81" s="17"/>
      <c r="L81" s="17"/>
      <c r="M81" s="17"/>
    </row>
    <row r="82" spans="1:13" s="1" customFormat="1">
      <c r="A82" s="15"/>
      <c r="B82" s="16" t="s">
        <v>139</v>
      </c>
      <c r="C82" s="16" t="s">
        <v>140</v>
      </c>
      <c r="D82" s="16" t="s">
        <v>501</v>
      </c>
      <c r="E82" s="16">
        <v>2016</v>
      </c>
      <c r="F82" s="16"/>
      <c r="G82" s="16">
        <v>19</v>
      </c>
      <c r="H82" s="17"/>
      <c r="I82" s="17"/>
      <c r="J82" s="17"/>
      <c r="K82" s="17"/>
      <c r="L82" s="17"/>
      <c r="M82" s="17"/>
    </row>
    <row r="83" spans="1:13" s="1" customFormat="1">
      <c r="A83" s="15"/>
      <c r="B83" s="16" t="s">
        <v>141</v>
      </c>
      <c r="C83" s="16" t="s">
        <v>142</v>
      </c>
      <c r="D83" s="16" t="s">
        <v>501</v>
      </c>
      <c r="E83" s="16">
        <v>2015</v>
      </c>
      <c r="F83" s="16"/>
      <c r="G83" s="16">
        <v>19</v>
      </c>
      <c r="H83" s="17"/>
      <c r="I83" s="17"/>
      <c r="J83" s="17"/>
      <c r="K83" s="17"/>
      <c r="L83" s="17"/>
      <c r="M83" s="17"/>
    </row>
    <row r="84" spans="1:13" s="1" customFormat="1">
      <c r="A84" s="15"/>
      <c r="B84" s="16" t="s">
        <v>143</v>
      </c>
      <c r="C84" s="16" t="s">
        <v>144</v>
      </c>
      <c r="D84" s="16" t="s">
        <v>501</v>
      </c>
      <c r="E84" s="16">
        <v>2014</v>
      </c>
      <c r="F84" s="16"/>
      <c r="G84" s="16">
        <v>19</v>
      </c>
      <c r="H84" s="17"/>
      <c r="I84" s="17"/>
      <c r="J84" s="17"/>
      <c r="K84" s="17"/>
      <c r="L84" s="17"/>
      <c r="M84" s="17"/>
    </row>
    <row r="85" spans="1:13" s="1" customFormat="1">
      <c r="A85" s="15"/>
      <c r="B85" s="16" t="s">
        <v>145</v>
      </c>
      <c r="C85" s="16" t="s">
        <v>146</v>
      </c>
      <c r="D85" s="16" t="s">
        <v>486</v>
      </c>
      <c r="E85" s="16">
        <v>2014</v>
      </c>
      <c r="F85" s="16">
        <v>2025</v>
      </c>
      <c r="G85" s="16">
        <v>19</v>
      </c>
      <c r="H85" s="17"/>
      <c r="I85" s="17"/>
      <c r="J85" s="17"/>
      <c r="K85" s="17"/>
      <c r="L85" s="17"/>
      <c r="M85" s="17"/>
    </row>
    <row r="86" spans="1:13" s="1" customFormat="1">
      <c r="A86" s="15"/>
      <c r="B86" s="16" t="s">
        <v>147</v>
      </c>
      <c r="C86" s="16" t="s">
        <v>148</v>
      </c>
      <c r="D86" s="16" t="s">
        <v>501</v>
      </c>
      <c r="E86" s="16">
        <v>2013</v>
      </c>
      <c r="F86" s="16"/>
      <c r="G86" s="16">
        <v>19</v>
      </c>
      <c r="H86" s="17"/>
      <c r="I86" s="17"/>
      <c r="J86" s="17"/>
      <c r="K86" s="17"/>
      <c r="L86" s="17"/>
      <c r="M86" s="17"/>
    </row>
    <row r="87" spans="1:13" s="1" customFormat="1">
      <c r="A87" s="15" t="s">
        <v>149</v>
      </c>
      <c r="B87" s="16" t="s">
        <v>150</v>
      </c>
      <c r="C87" s="16" t="s">
        <v>151</v>
      </c>
      <c r="D87" s="16" t="s">
        <v>508</v>
      </c>
      <c r="E87" s="16">
        <v>2017</v>
      </c>
      <c r="F87" s="16"/>
      <c r="G87" s="16">
        <v>19</v>
      </c>
      <c r="H87" s="17">
        <v>0.36</v>
      </c>
      <c r="I87" s="17">
        <v>0.37</v>
      </c>
      <c r="J87" s="17">
        <v>0.37</v>
      </c>
      <c r="K87" s="17">
        <v>0.30441041354293374</v>
      </c>
      <c r="L87" s="17">
        <v>0.31673671134091341</v>
      </c>
      <c r="M87" s="17">
        <v>0.28926525382837537</v>
      </c>
    </row>
    <row r="88" spans="1:13" s="1" customFormat="1">
      <c r="A88" s="15"/>
      <c r="B88" s="16" t="s">
        <v>152</v>
      </c>
      <c r="C88" s="16" t="s">
        <v>153</v>
      </c>
      <c r="D88" s="16" t="s">
        <v>501</v>
      </c>
      <c r="E88" s="16">
        <v>2017</v>
      </c>
      <c r="F88" s="16"/>
      <c r="G88" s="16">
        <v>19</v>
      </c>
      <c r="H88" s="17"/>
      <c r="I88" s="17"/>
      <c r="J88" s="17"/>
      <c r="K88" s="17"/>
      <c r="L88" s="17"/>
      <c r="M88" s="17"/>
    </row>
    <row r="89" spans="1:13" s="1" customFormat="1">
      <c r="A89" s="15"/>
      <c r="B89" s="16" t="s">
        <v>154</v>
      </c>
      <c r="C89" s="16" t="s">
        <v>155</v>
      </c>
      <c r="D89" s="16" t="s">
        <v>501</v>
      </c>
      <c r="E89" s="16">
        <v>2016</v>
      </c>
      <c r="F89" s="16"/>
      <c r="G89" s="16">
        <v>19</v>
      </c>
      <c r="H89" s="17"/>
      <c r="I89" s="17"/>
      <c r="J89" s="17"/>
      <c r="K89" s="17"/>
      <c r="L89" s="17"/>
      <c r="M89" s="17"/>
    </row>
    <row r="90" spans="1:13" s="1" customFormat="1">
      <c r="A90" s="15"/>
      <c r="B90" s="16" t="s">
        <v>561</v>
      </c>
      <c r="C90" s="16" t="s">
        <v>156</v>
      </c>
      <c r="D90" s="16" t="s">
        <v>487</v>
      </c>
      <c r="E90" s="16">
        <v>2016</v>
      </c>
      <c r="F90" s="16">
        <v>2024</v>
      </c>
      <c r="G90" s="16">
        <v>12</v>
      </c>
      <c r="H90" s="17"/>
      <c r="I90" s="17"/>
      <c r="J90" s="17"/>
      <c r="K90" s="17"/>
      <c r="L90" s="17"/>
      <c r="M90" s="17"/>
    </row>
    <row r="91" spans="1:13" s="1" customFormat="1">
      <c r="A91" s="15"/>
      <c r="B91" s="16" t="s">
        <v>157</v>
      </c>
      <c r="C91" s="16" t="s">
        <v>158</v>
      </c>
      <c r="D91" s="16" t="s">
        <v>501</v>
      </c>
      <c r="E91" s="16">
        <v>2014</v>
      </c>
      <c r="F91" s="16"/>
      <c r="G91" s="16">
        <v>19</v>
      </c>
      <c r="H91" s="17"/>
      <c r="I91" s="17"/>
      <c r="J91" s="17"/>
      <c r="K91" s="17"/>
      <c r="L91" s="17"/>
      <c r="M91" s="17"/>
    </row>
    <row r="92" spans="1:13" s="1" customFormat="1">
      <c r="A92" s="15"/>
      <c r="B92" s="16" t="s">
        <v>159</v>
      </c>
      <c r="C92" s="16" t="s">
        <v>160</v>
      </c>
      <c r="D92" s="16" t="s">
        <v>501</v>
      </c>
      <c r="E92" s="16">
        <v>2014</v>
      </c>
      <c r="F92" s="16"/>
      <c r="G92" s="16">
        <v>19</v>
      </c>
      <c r="H92" s="17"/>
      <c r="I92" s="17"/>
      <c r="J92" s="17"/>
      <c r="K92" s="17"/>
      <c r="L92" s="17"/>
      <c r="M92" s="17"/>
    </row>
    <row r="93" spans="1:13" s="1" customFormat="1">
      <c r="A93" s="15"/>
      <c r="B93" s="16" t="s">
        <v>161</v>
      </c>
      <c r="C93" s="16" t="s">
        <v>162</v>
      </c>
      <c r="D93" s="16" t="s">
        <v>487</v>
      </c>
      <c r="E93" s="16">
        <v>2013</v>
      </c>
      <c r="F93" s="16">
        <v>2024</v>
      </c>
      <c r="G93" s="16">
        <v>26</v>
      </c>
      <c r="H93" s="17"/>
      <c r="I93" s="17"/>
      <c r="J93" s="17"/>
      <c r="K93" s="17"/>
      <c r="L93" s="17"/>
      <c r="M93" s="17"/>
    </row>
    <row r="94" spans="1:13" s="1" customFormat="1">
      <c r="A94" s="15"/>
      <c r="B94" s="16" t="s">
        <v>532</v>
      </c>
      <c r="C94" s="16" t="s">
        <v>551</v>
      </c>
      <c r="D94" s="16" t="s">
        <v>487</v>
      </c>
      <c r="E94" s="16" t="s">
        <v>566</v>
      </c>
      <c r="F94" s="16">
        <v>2022</v>
      </c>
      <c r="G94" s="16"/>
      <c r="H94" s="17"/>
      <c r="I94" s="17"/>
      <c r="J94" s="17"/>
      <c r="K94" s="17"/>
      <c r="L94" s="17"/>
      <c r="M94" s="17"/>
    </row>
    <row r="95" spans="1:13" s="1" customFormat="1">
      <c r="A95" s="15"/>
      <c r="B95" s="16" t="s">
        <v>533</v>
      </c>
      <c r="C95" s="16" t="s">
        <v>552</v>
      </c>
      <c r="D95" s="16" t="s">
        <v>487</v>
      </c>
      <c r="E95" s="16">
        <v>2016</v>
      </c>
      <c r="F95" s="16">
        <v>2023</v>
      </c>
      <c r="G95" s="16"/>
      <c r="H95" s="17"/>
      <c r="I95" s="17"/>
      <c r="J95" s="17"/>
      <c r="K95" s="17"/>
      <c r="L95" s="17"/>
      <c r="M95" s="17"/>
    </row>
    <row r="96" spans="1:13" s="1" customFormat="1">
      <c r="A96" s="15"/>
      <c r="B96" s="16" t="s">
        <v>163</v>
      </c>
      <c r="C96" s="16" t="s">
        <v>164</v>
      </c>
      <c r="D96" s="16" t="s">
        <v>501</v>
      </c>
      <c r="E96" s="16">
        <v>2013</v>
      </c>
      <c r="F96" s="16"/>
      <c r="G96" s="16">
        <v>19</v>
      </c>
      <c r="H96" s="17"/>
      <c r="I96" s="17"/>
      <c r="J96" s="17"/>
      <c r="K96" s="17"/>
      <c r="L96" s="17"/>
      <c r="M96" s="17"/>
    </row>
    <row r="97" spans="1:13" s="1" customFormat="1">
      <c r="A97" s="15"/>
      <c r="B97" s="16" t="s">
        <v>165</v>
      </c>
      <c r="C97" s="16" t="s">
        <v>166</v>
      </c>
      <c r="D97" s="16" t="s">
        <v>501</v>
      </c>
      <c r="E97" s="16">
        <v>2018</v>
      </c>
      <c r="F97" s="16"/>
      <c r="G97" s="16">
        <v>12</v>
      </c>
      <c r="H97" s="17"/>
      <c r="I97" s="17"/>
      <c r="J97" s="17"/>
      <c r="K97" s="17"/>
      <c r="L97" s="17"/>
      <c r="M97" s="17"/>
    </row>
    <row r="98" spans="1:13" s="1" customFormat="1">
      <c r="A98" s="15" t="s">
        <v>167</v>
      </c>
      <c r="B98" s="16" t="s">
        <v>168</v>
      </c>
      <c r="C98" s="16" t="s">
        <v>169</v>
      </c>
      <c r="D98" s="16" t="s">
        <v>501</v>
      </c>
      <c r="E98" s="16">
        <v>2019</v>
      </c>
      <c r="F98" s="16"/>
      <c r="G98" s="16">
        <v>12</v>
      </c>
      <c r="H98" s="17">
        <v>0.37</v>
      </c>
      <c r="I98" s="17">
        <v>0.35</v>
      </c>
      <c r="J98" s="17">
        <v>0.38</v>
      </c>
      <c r="K98" s="17">
        <v>0.37673057697262219</v>
      </c>
      <c r="L98" s="17">
        <v>0.33147167597810334</v>
      </c>
      <c r="M98" s="17">
        <v>0.32720654741634608</v>
      </c>
    </row>
    <row r="99" spans="1:13" s="1" customFormat="1">
      <c r="A99" s="15"/>
      <c r="B99" s="16" t="s">
        <v>170</v>
      </c>
      <c r="C99" s="16" t="s">
        <v>171</v>
      </c>
      <c r="D99" s="16" t="s">
        <v>501</v>
      </c>
      <c r="E99" s="16">
        <v>2020</v>
      </c>
      <c r="F99" s="16"/>
      <c r="G99" s="16">
        <v>19</v>
      </c>
      <c r="H99" s="17"/>
      <c r="I99" s="17"/>
      <c r="J99" s="17"/>
      <c r="K99" s="17"/>
      <c r="L99" s="17"/>
      <c r="M99" s="17"/>
    </row>
    <row r="100" spans="1:13" s="1" customFormat="1">
      <c r="A100" s="15"/>
      <c r="B100" s="16" t="s">
        <v>172</v>
      </c>
      <c r="C100" s="16" t="s">
        <v>173</v>
      </c>
      <c r="D100" s="16" t="s">
        <v>501</v>
      </c>
      <c r="E100" s="16">
        <v>2016</v>
      </c>
      <c r="F100" s="16"/>
      <c r="G100" s="16">
        <v>19</v>
      </c>
      <c r="H100" s="17"/>
      <c r="I100" s="17"/>
      <c r="J100" s="17"/>
      <c r="K100" s="17"/>
      <c r="L100" s="17"/>
      <c r="M100" s="17"/>
    </row>
    <row r="101" spans="1:13" s="1" customFormat="1">
      <c r="A101" s="15"/>
      <c r="B101" s="16" t="s">
        <v>174</v>
      </c>
      <c r="C101" s="16" t="s">
        <v>175</v>
      </c>
      <c r="D101" s="16" t="s">
        <v>501</v>
      </c>
      <c r="E101" s="16">
        <v>2014</v>
      </c>
      <c r="F101" s="16"/>
      <c r="G101" s="16">
        <v>19</v>
      </c>
      <c r="H101" s="17"/>
      <c r="I101" s="17"/>
      <c r="J101" s="17"/>
      <c r="K101" s="17"/>
      <c r="L101" s="17"/>
      <c r="M101" s="17"/>
    </row>
    <row r="102" spans="1:13" s="1" customFormat="1">
      <c r="A102" s="15"/>
      <c r="B102" s="16" t="s">
        <v>176</v>
      </c>
      <c r="C102" s="16" t="s">
        <v>177</v>
      </c>
      <c r="D102" s="16" t="s">
        <v>501</v>
      </c>
      <c r="E102" s="16">
        <v>2014</v>
      </c>
      <c r="F102" s="16"/>
      <c r="G102" s="16">
        <v>33</v>
      </c>
      <c r="H102" s="17"/>
      <c r="I102" s="17"/>
      <c r="J102" s="17"/>
      <c r="K102" s="17"/>
      <c r="L102" s="17"/>
      <c r="M102" s="17"/>
    </row>
    <row r="103" spans="1:13" s="1" customFormat="1">
      <c r="A103" s="15"/>
      <c r="B103" s="16" t="s">
        <v>178</v>
      </c>
      <c r="C103" s="16" t="s">
        <v>179</v>
      </c>
      <c r="D103" s="16" t="s">
        <v>501</v>
      </c>
      <c r="E103" s="16">
        <v>2013</v>
      </c>
      <c r="F103" s="16"/>
      <c r="G103" s="16">
        <v>19</v>
      </c>
      <c r="H103" s="17"/>
      <c r="I103" s="17"/>
      <c r="J103" s="17"/>
      <c r="K103" s="17"/>
      <c r="L103" s="17"/>
      <c r="M103" s="17"/>
    </row>
    <row r="104" spans="1:13" s="1" customFormat="1">
      <c r="A104" s="15"/>
      <c r="B104" s="16" t="s">
        <v>180</v>
      </c>
      <c r="C104" s="16" t="s">
        <v>181</v>
      </c>
      <c r="D104" s="16" t="s">
        <v>501</v>
      </c>
      <c r="E104" s="16" t="s">
        <v>566</v>
      </c>
      <c r="F104" s="16"/>
      <c r="G104" s="16">
        <v>19</v>
      </c>
      <c r="H104" s="17"/>
      <c r="I104" s="17"/>
      <c r="J104" s="17"/>
      <c r="K104" s="17"/>
      <c r="L104" s="17"/>
      <c r="M104" s="17"/>
    </row>
    <row r="105" spans="1:13" s="1" customFormat="1">
      <c r="A105" s="15"/>
      <c r="B105" s="16" t="s">
        <v>477</v>
      </c>
      <c r="C105" s="16" t="s">
        <v>596</v>
      </c>
      <c r="D105" s="16" t="s">
        <v>487</v>
      </c>
      <c r="E105" s="16">
        <v>2015</v>
      </c>
      <c r="F105" s="16">
        <v>2023</v>
      </c>
      <c r="G105" s="16">
        <v>19</v>
      </c>
      <c r="H105" s="17"/>
      <c r="I105" s="17"/>
      <c r="J105" s="17"/>
      <c r="K105" s="17"/>
      <c r="L105" s="17"/>
      <c r="M105" s="17"/>
    </row>
    <row r="106" spans="1:13" s="1" customFormat="1">
      <c r="A106" s="15"/>
      <c r="B106" s="16" t="s">
        <v>495</v>
      </c>
      <c r="C106" s="16" t="s">
        <v>182</v>
      </c>
      <c r="D106" s="16" t="s">
        <v>487</v>
      </c>
      <c r="E106" s="16">
        <v>2018</v>
      </c>
      <c r="F106" s="16">
        <v>2024</v>
      </c>
      <c r="G106" s="16">
        <v>19</v>
      </c>
      <c r="H106" s="17"/>
      <c r="I106" s="17"/>
      <c r="J106" s="17"/>
      <c r="K106" s="17"/>
      <c r="L106" s="17"/>
      <c r="M106" s="17"/>
    </row>
    <row r="107" spans="1:13" s="1" customFormat="1">
      <c r="A107" s="15" t="s">
        <v>183</v>
      </c>
      <c r="B107" s="16" t="s">
        <v>584</v>
      </c>
      <c r="C107" s="16" t="s">
        <v>185</v>
      </c>
      <c r="D107" s="16" t="s">
        <v>501</v>
      </c>
      <c r="E107" s="16">
        <v>2013</v>
      </c>
      <c r="F107" s="16"/>
      <c r="G107" s="16">
        <v>19</v>
      </c>
      <c r="H107" s="17">
        <v>0.37</v>
      </c>
      <c r="I107" s="17">
        <v>0.34</v>
      </c>
      <c r="J107" s="17">
        <v>0.38</v>
      </c>
      <c r="K107" s="18">
        <v>0.39962596130589811</v>
      </c>
      <c r="L107" s="17">
        <v>0.42854732676582324</v>
      </c>
      <c r="M107" s="17">
        <v>0.39185036587280858</v>
      </c>
    </row>
    <row r="108" spans="1:13" s="1" customFormat="1">
      <c r="A108" s="15"/>
      <c r="B108" s="16" t="s">
        <v>186</v>
      </c>
      <c r="C108" s="16" t="s">
        <v>187</v>
      </c>
      <c r="D108" s="16" t="s">
        <v>501</v>
      </c>
      <c r="E108" s="16">
        <v>2013</v>
      </c>
      <c r="F108" s="16"/>
      <c r="G108" s="16">
        <v>26</v>
      </c>
      <c r="H108" s="17"/>
      <c r="I108" s="17"/>
      <c r="J108" s="17"/>
      <c r="K108" s="18"/>
      <c r="L108" s="17"/>
      <c r="M108" s="17"/>
    </row>
    <row r="109" spans="1:13" s="1" customFormat="1">
      <c r="A109" s="15"/>
      <c r="B109" s="16" t="s">
        <v>188</v>
      </c>
      <c r="C109" s="16" t="s">
        <v>189</v>
      </c>
      <c r="D109" s="16" t="s">
        <v>501</v>
      </c>
      <c r="E109" s="16">
        <v>2020</v>
      </c>
      <c r="F109" s="16"/>
      <c r="G109" s="16">
        <v>12</v>
      </c>
      <c r="H109" s="17"/>
      <c r="I109" s="17"/>
      <c r="J109" s="17"/>
      <c r="K109" s="18"/>
      <c r="L109" s="17"/>
      <c r="M109" s="17"/>
    </row>
    <row r="110" spans="1:13" s="1" customFormat="1">
      <c r="A110" s="15"/>
      <c r="B110" s="16" t="s">
        <v>190</v>
      </c>
      <c r="C110" s="16" t="s">
        <v>191</v>
      </c>
      <c r="D110" s="16" t="s">
        <v>501</v>
      </c>
      <c r="E110" s="16">
        <v>2016</v>
      </c>
      <c r="F110" s="16"/>
      <c r="G110" s="16">
        <v>19</v>
      </c>
      <c r="H110" s="17"/>
      <c r="I110" s="17"/>
      <c r="J110" s="17"/>
      <c r="K110" s="18"/>
      <c r="L110" s="17"/>
      <c r="M110" s="17"/>
    </row>
    <row r="111" spans="1:13" s="1" customFormat="1">
      <c r="A111" s="15"/>
      <c r="B111" s="16" t="s">
        <v>192</v>
      </c>
      <c r="C111" s="16" t="s">
        <v>193</v>
      </c>
      <c r="D111" s="16" t="s">
        <v>501</v>
      </c>
      <c r="E111" s="16">
        <v>2015</v>
      </c>
      <c r="F111" s="16"/>
      <c r="G111" s="16">
        <v>19</v>
      </c>
      <c r="H111" s="17"/>
      <c r="I111" s="17"/>
      <c r="J111" s="17"/>
      <c r="K111" s="18"/>
      <c r="L111" s="17"/>
      <c r="M111" s="17"/>
    </row>
    <row r="112" spans="1:13" s="1" customFormat="1">
      <c r="A112" s="15"/>
      <c r="B112" s="16" t="s">
        <v>572</v>
      </c>
      <c r="C112" s="16" t="s">
        <v>553</v>
      </c>
      <c r="D112" s="16" t="s">
        <v>487</v>
      </c>
      <c r="E112" s="16">
        <v>2016</v>
      </c>
      <c r="F112" s="16">
        <v>2024</v>
      </c>
      <c r="G112" s="16"/>
      <c r="H112" s="17"/>
      <c r="I112" s="17"/>
      <c r="J112" s="17"/>
      <c r="K112" s="18"/>
      <c r="L112" s="17"/>
      <c r="M112" s="17"/>
    </row>
    <row r="113" spans="1:13" s="1" customFormat="1">
      <c r="A113" s="15"/>
      <c r="B113" s="16" t="s">
        <v>534</v>
      </c>
      <c r="C113" s="16" t="s">
        <v>554</v>
      </c>
      <c r="D113" s="16" t="s">
        <v>487</v>
      </c>
      <c r="E113" s="16" t="s">
        <v>566</v>
      </c>
      <c r="F113" s="16">
        <v>2022</v>
      </c>
      <c r="G113" s="16"/>
      <c r="H113" s="17"/>
      <c r="I113" s="17"/>
      <c r="J113" s="17"/>
      <c r="K113" s="18"/>
      <c r="L113" s="17"/>
      <c r="M113" s="17"/>
    </row>
    <row r="114" spans="1:13" s="1" customFormat="1">
      <c r="A114" s="15"/>
      <c r="B114" s="16" t="s">
        <v>535</v>
      </c>
      <c r="C114" s="16" t="s">
        <v>555</v>
      </c>
      <c r="D114" s="16" t="s">
        <v>487</v>
      </c>
      <c r="E114" s="16" t="s">
        <v>566</v>
      </c>
      <c r="F114" s="16">
        <v>2022</v>
      </c>
      <c r="G114" s="16"/>
      <c r="H114" s="17"/>
      <c r="I114" s="17"/>
      <c r="J114" s="17"/>
      <c r="K114" s="18"/>
      <c r="L114" s="17"/>
      <c r="M114" s="17"/>
    </row>
    <row r="115" spans="1:13" s="1" customFormat="1">
      <c r="A115" s="15"/>
      <c r="B115" s="16" t="s">
        <v>194</v>
      </c>
      <c r="C115" s="16" t="s">
        <v>195</v>
      </c>
      <c r="D115" s="16" t="s">
        <v>501</v>
      </c>
      <c r="E115" s="16">
        <v>2014</v>
      </c>
      <c r="F115" s="16"/>
      <c r="G115" s="16">
        <v>26</v>
      </c>
      <c r="H115" s="17"/>
      <c r="I115" s="17"/>
      <c r="J115" s="17"/>
      <c r="K115" s="18"/>
      <c r="L115" s="17"/>
      <c r="M115" s="17"/>
    </row>
    <row r="116" spans="1:13" s="1" customFormat="1">
      <c r="A116" s="15"/>
      <c r="B116" s="16" t="s">
        <v>196</v>
      </c>
      <c r="C116" s="16" t="s">
        <v>197</v>
      </c>
      <c r="D116" s="16" t="s">
        <v>501</v>
      </c>
      <c r="E116" s="16">
        <v>2014</v>
      </c>
      <c r="F116" s="16"/>
      <c r="G116" s="16">
        <v>19</v>
      </c>
      <c r="H116" s="17"/>
      <c r="I116" s="17"/>
      <c r="J116" s="17"/>
      <c r="K116" s="18"/>
      <c r="L116" s="17"/>
      <c r="M116" s="17"/>
    </row>
    <row r="117" spans="1:13" s="1" customFormat="1">
      <c r="A117" s="15"/>
      <c r="B117" s="16" t="s">
        <v>589</v>
      </c>
      <c r="C117" s="16" t="s">
        <v>198</v>
      </c>
      <c r="D117" s="16" t="s">
        <v>508</v>
      </c>
      <c r="E117" s="16">
        <v>2014</v>
      </c>
      <c r="F117" s="16"/>
      <c r="G117" s="16">
        <v>19</v>
      </c>
      <c r="H117" s="17"/>
      <c r="I117" s="17"/>
      <c r="J117" s="17"/>
      <c r="K117" s="18"/>
      <c r="L117" s="17"/>
      <c r="M117" s="17"/>
    </row>
    <row r="118" spans="1:13" s="1" customFormat="1">
      <c r="A118" s="15"/>
      <c r="B118" s="16" t="s">
        <v>199</v>
      </c>
      <c r="C118" s="16" t="s">
        <v>200</v>
      </c>
      <c r="D118" s="16" t="s">
        <v>486</v>
      </c>
      <c r="E118" s="16">
        <v>2013</v>
      </c>
      <c r="F118" s="16">
        <v>2025</v>
      </c>
      <c r="G118" s="16">
        <v>33</v>
      </c>
      <c r="H118" s="17"/>
      <c r="I118" s="17"/>
      <c r="J118" s="17"/>
      <c r="K118" s="18"/>
      <c r="L118" s="17"/>
      <c r="M118" s="17"/>
    </row>
    <row r="119" spans="1:13" s="1" customFormat="1">
      <c r="A119" s="15" t="s">
        <v>201</v>
      </c>
      <c r="B119" s="16" t="s">
        <v>202</v>
      </c>
      <c r="C119" s="16" t="s">
        <v>203</v>
      </c>
      <c r="D119" s="16" t="s">
        <v>501</v>
      </c>
      <c r="E119" s="16">
        <v>2019</v>
      </c>
      <c r="F119" s="16"/>
      <c r="G119" s="16">
        <v>12</v>
      </c>
      <c r="H119" s="17">
        <v>0.27</v>
      </c>
      <c r="I119" s="17">
        <v>0.25</v>
      </c>
      <c r="J119" s="17">
        <v>0.23</v>
      </c>
      <c r="K119" s="17">
        <v>0.27095252529993902</v>
      </c>
      <c r="L119" s="17">
        <v>0.26409120683048953</v>
      </c>
      <c r="M119" s="17">
        <v>0.2354959674684137</v>
      </c>
    </row>
    <row r="120" spans="1:13" s="1" customFormat="1">
      <c r="A120" s="15"/>
      <c r="B120" s="16" t="s">
        <v>512</v>
      </c>
      <c r="C120" s="16" t="s">
        <v>204</v>
      </c>
      <c r="D120" s="16" t="s">
        <v>508</v>
      </c>
      <c r="E120" s="16" t="s">
        <v>566</v>
      </c>
      <c r="F120" s="16"/>
      <c r="G120" s="16">
        <v>12</v>
      </c>
      <c r="H120" s="17"/>
      <c r="I120" s="17"/>
      <c r="J120" s="17"/>
      <c r="K120" s="17"/>
      <c r="L120" s="17"/>
      <c r="M120" s="17"/>
    </row>
    <row r="121" spans="1:13" s="1" customFormat="1">
      <c r="A121" s="15"/>
      <c r="B121" s="16" t="s">
        <v>513</v>
      </c>
      <c r="C121" s="16" t="s">
        <v>205</v>
      </c>
      <c r="D121" s="16" t="s">
        <v>508</v>
      </c>
      <c r="E121" s="16">
        <v>2020</v>
      </c>
      <c r="F121" s="16"/>
      <c r="G121" s="16">
        <v>12</v>
      </c>
      <c r="H121" s="17"/>
      <c r="I121" s="17"/>
      <c r="J121" s="17"/>
      <c r="K121" s="17"/>
      <c r="L121" s="17"/>
      <c r="M121" s="17"/>
    </row>
    <row r="122" spans="1:13" s="1" customFormat="1">
      <c r="A122" s="15"/>
      <c r="B122" s="16" t="s">
        <v>206</v>
      </c>
      <c r="C122" s="16" t="s">
        <v>207</v>
      </c>
      <c r="D122" s="16" t="s">
        <v>501</v>
      </c>
      <c r="E122" s="16">
        <v>2019</v>
      </c>
      <c r="F122" s="16"/>
      <c r="G122" s="16">
        <v>12</v>
      </c>
      <c r="H122" s="17"/>
      <c r="I122" s="17"/>
      <c r="J122" s="17"/>
      <c r="K122" s="17"/>
      <c r="L122" s="17"/>
      <c r="M122" s="17"/>
    </row>
    <row r="123" spans="1:13" s="1" customFormat="1">
      <c r="A123" s="15"/>
      <c r="B123" s="16" t="s">
        <v>208</v>
      </c>
      <c r="C123" s="16" t="s">
        <v>209</v>
      </c>
      <c r="D123" s="16" t="s">
        <v>501</v>
      </c>
      <c r="E123" s="16">
        <v>2017</v>
      </c>
      <c r="F123" s="16"/>
      <c r="G123" s="16">
        <v>12</v>
      </c>
      <c r="H123" s="17"/>
      <c r="I123" s="17"/>
      <c r="J123" s="17"/>
      <c r="K123" s="17"/>
      <c r="L123" s="17"/>
      <c r="M123" s="17"/>
    </row>
    <row r="124" spans="1:13" s="1" customFormat="1">
      <c r="A124" s="15"/>
      <c r="B124" s="16" t="s">
        <v>210</v>
      </c>
      <c r="C124" s="16" t="s">
        <v>211</v>
      </c>
      <c r="D124" s="16" t="s">
        <v>501</v>
      </c>
      <c r="E124" s="16">
        <v>2017</v>
      </c>
      <c r="F124" s="16"/>
      <c r="G124" s="16">
        <v>19</v>
      </c>
      <c r="H124" s="17"/>
      <c r="I124" s="17"/>
      <c r="J124" s="17"/>
      <c r="K124" s="17"/>
      <c r="L124" s="17"/>
      <c r="M124" s="17"/>
    </row>
    <row r="125" spans="1:13" s="1" customFormat="1">
      <c r="A125" s="15"/>
      <c r="B125" s="16" t="s">
        <v>212</v>
      </c>
      <c r="C125" s="16" t="s">
        <v>213</v>
      </c>
      <c r="D125" s="16" t="s">
        <v>501</v>
      </c>
      <c r="E125" s="16">
        <v>2016</v>
      </c>
      <c r="F125" s="16"/>
      <c r="G125" s="16">
        <v>19</v>
      </c>
      <c r="H125" s="17"/>
      <c r="I125" s="17"/>
      <c r="J125" s="17"/>
      <c r="K125" s="17"/>
      <c r="L125" s="17"/>
      <c r="M125" s="17"/>
    </row>
    <row r="126" spans="1:13" s="1" customFormat="1">
      <c r="A126" s="15"/>
      <c r="B126" s="16" t="s">
        <v>214</v>
      </c>
      <c r="C126" s="16" t="s">
        <v>215</v>
      </c>
      <c r="D126" s="16" t="s">
        <v>501</v>
      </c>
      <c r="E126" s="16" t="s">
        <v>566</v>
      </c>
      <c r="F126" s="16"/>
      <c r="G126" s="16">
        <v>19</v>
      </c>
      <c r="H126" s="17"/>
      <c r="I126" s="17"/>
      <c r="J126" s="17"/>
      <c r="K126" s="17"/>
      <c r="L126" s="17"/>
      <c r="M126" s="17"/>
    </row>
    <row r="127" spans="1:13" s="1" customFormat="1">
      <c r="A127" s="15"/>
      <c r="B127" s="16" t="s">
        <v>514</v>
      </c>
      <c r="C127" s="16" t="s">
        <v>216</v>
      </c>
      <c r="D127" s="16" t="s">
        <v>508</v>
      </c>
      <c r="E127" s="16">
        <v>2022</v>
      </c>
      <c r="F127" s="16"/>
      <c r="G127" s="16">
        <v>12</v>
      </c>
      <c r="H127" s="17"/>
      <c r="I127" s="17"/>
      <c r="J127" s="17"/>
      <c r="K127" s="17"/>
      <c r="L127" s="17"/>
      <c r="M127" s="17"/>
    </row>
    <row r="128" spans="1:13" s="1" customFormat="1">
      <c r="A128" s="15"/>
      <c r="B128" s="16" t="s">
        <v>217</v>
      </c>
      <c r="C128" s="16" t="s">
        <v>218</v>
      </c>
      <c r="D128" s="16" t="s">
        <v>486</v>
      </c>
      <c r="E128" s="16">
        <v>2014</v>
      </c>
      <c r="F128" s="16">
        <v>2025</v>
      </c>
      <c r="G128" s="16">
        <v>12</v>
      </c>
      <c r="H128" s="17"/>
      <c r="I128" s="17"/>
      <c r="J128" s="17"/>
      <c r="K128" s="17"/>
      <c r="L128" s="17"/>
      <c r="M128" s="17"/>
    </row>
    <row r="129" spans="1:13" s="1" customFormat="1">
      <c r="A129" s="15"/>
      <c r="B129" s="16" t="s">
        <v>219</v>
      </c>
      <c r="C129" s="16" t="s">
        <v>220</v>
      </c>
      <c r="D129" s="16" t="s">
        <v>501</v>
      </c>
      <c r="E129" s="16">
        <v>2013</v>
      </c>
      <c r="F129" s="16"/>
      <c r="G129" s="16">
        <v>12</v>
      </c>
      <c r="H129" s="17"/>
      <c r="I129" s="17"/>
      <c r="J129" s="17"/>
      <c r="K129" s="17"/>
      <c r="L129" s="17"/>
      <c r="M129" s="17"/>
    </row>
    <row r="130" spans="1:13" s="1" customFormat="1">
      <c r="A130" s="15"/>
      <c r="B130" s="16" t="s">
        <v>221</v>
      </c>
      <c r="C130" s="16" t="s">
        <v>222</v>
      </c>
      <c r="D130" s="16" t="s">
        <v>501</v>
      </c>
      <c r="E130" s="16">
        <v>2013</v>
      </c>
      <c r="F130" s="16"/>
      <c r="G130" s="16">
        <v>26</v>
      </c>
      <c r="H130" s="17"/>
      <c r="I130" s="17"/>
      <c r="J130" s="17"/>
      <c r="K130" s="17"/>
      <c r="L130" s="17"/>
      <c r="M130" s="17"/>
    </row>
    <row r="131" spans="1:13" s="1" customFormat="1">
      <c r="A131" s="15"/>
      <c r="B131" s="16" t="s">
        <v>223</v>
      </c>
      <c r="C131" s="16" t="s">
        <v>224</v>
      </c>
      <c r="D131" s="16" t="s">
        <v>501</v>
      </c>
      <c r="E131" s="16">
        <v>2018</v>
      </c>
      <c r="F131" s="16"/>
      <c r="G131" s="16">
        <v>12</v>
      </c>
      <c r="H131" s="17"/>
      <c r="I131" s="17"/>
      <c r="J131" s="17"/>
      <c r="K131" s="17"/>
      <c r="L131" s="17"/>
      <c r="M131" s="17"/>
    </row>
    <row r="132" spans="1:13" s="1" customFormat="1">
      <c r="A132" s="15" t="s">
        <v>225</v>
      </c>
      <c r="B132" s="16" t="s">
        <v>226</v>
      </c>
      <c r="C132" s="16" t="s">
        <v>227</v>
      </c>
      <c r="D132" s="16" t="s">
        <v>501</v>
      </c>
      <c r="E132" s="16">
        <v>2019</v>
      </c>
      <c r="F132" s="16"/>
      <c r="G132" s="16">
        <v>12</v>
      </c>
      <c r="H132" s="17">
        <v>0.32</v>
      </c>
      <c r="I132" s="17">
        <v>0.31</v>
      </c>
      <c r="J132" s="17">
        <v>0.28999999999999998</v>
      </c>
      <c r="K132" s="17">
        <v>0.30215427666223377</v>
      </c>
      <c r="L132" s="17">
        <v>0.27940669570373872</v>
      </c>
      <c r="M132" s="17">
        <v>0.2565816805707864</v>
      </c>
    </row>
    <row r="133" spans="1:13" s="1" customFormat="1">
      <c r="A133" s="15"/>
      <c r="B133" s="16" t="s">
        <v>228</v>
      </c>
      <c r="C133" s="16" t="s">
        <v>229</v>
      </c>
      <c r="D133" s="16" t="s">
        <v>501</v>
      </c>
      <c r="E133" s="16">
        <v>2019</v>
      </c>
      <c r="F133" s="16"/>
      <c r="G133" s="16">
        <v>12</v>
      </c>
      <c r="H133" s="17"/>
      <c r="I133" s="17"/>
      <c r="J133" s="17"/>
      <c r="K133" s="17"/>
      <c r="L133" s="17"/>
      <c r="M133" s="17"/>
    </row>
    <row r="134" spans="1:13" s="1" customFormat="1">
      <c r="A134" s="15"/>
      <c r="B134" s="16" t="s">
        <v>230</v>
      </c>
      <c r="C134" s="16" t="s">
        <v>231</v>
      </c>
      <c r="D134" s="16" t="s">
        <v>501</v>
      </c>
      <c r="E134" s="16">
        <v>2013</v>
      </c>
      <c r="F134" s="16"/>
      <c r="G134" s="16">
        <v>19</v>
      </c>
      <c r="H134" s="17"/>
      <c r="I134" s="17"/>
      <c r="J134" s="17"/>
      <c r="K134" s="17"/>
      <c r="L134" s="17"/>
      <c r="M134" s="17"/>
    </row>
    <row r="135" spans="1:13" s="1" customFormat="1">
      <c r="A135" s="15"/>
      <c r="B135" s="16" t="s">
        <v>515</v>
      </c>
      <c r="C135" s="16" t="s">
        <v>232</v>
      </c>
      <c r="D135" s="16" t="s">
        <v>501</v>
      </c>
      <c r="E135" s="16">
        <v>2021</v>
      </c>
      <c r="F135" s="16"/>
      <c r="G135" s="16">
        <v>19</v>
      </c>
      <c r="H135" s="17"/>
      <c r="I135" s="17"/>
      <c r="J135" s="17"/>
      <c r="K135" s="17"/>
      <c r="L135" s="17"/>
      <c r="M135" s="17"/>
    </row>
    <row r="136" spans="1:13" s="1" customFormat="1">
      <c r="A136" s="15"/>
      <c r="B136" s="16" t="s">
        <v>233</v>
      </c>
      <c r="C136" s="16" t="s">
        <v>234</v>
      </c>
      <c r="D136" s="16" t="s">
        <v>501</v>
      </c>
      <c r="E136" s="16">
        <v>2021</v>
      </c>
      <c r="F136" s="16"/>
      <c r="G136" s="16">
        <v>19</v>
      </c>
      <c r="H136" s="17"/>
      <c r="I136" s="17"/>
      <c r="J136" s="17"/>
      <c r="K136" s="17"/>
      <c r="L136" s="17"/>
      <c r="M136" s="17"/>
    </row>
    <row r="137" spans="1:13" s="1" customFormat="1">
      <c r="A137" s="15"/>
      <c r="B137" s="16" t="s">
        <v>235</v>
      </c>
      <c r="C137" s="16" t="s">
        <v>236</v>
      </c>
      <c r="D137" s="16" t="s">
        <v>501</v>
      </c>
      <c r="E137" s="16">
        <v>2021</v>
      </c>
      <c r="F137" s="16"/>
      <c r="G137" s="16">
        <v>12</v>
      </c>
      <c r="H137" s="17"/>
      <c r="I137" s="17"/>
      <c r="J137" s="17"/>
      <c r="K137" s="17"/>
      <c r="L137" s="17"/>
      <c r="M137" s="17"/>
    </row>
    <row r="138" spans="1:13" s="1" customFormat="1">
      <c r="A138" s="15"/>
      <c r="B138" s="16" t="s">
        <v>237</v>
      </c>
      <c r="C138" s="16" t="s">
        <v>238</v>
      </c>
      <c r="D138" s="16" t="s">
        <v>501</v>
      </c>
      <c r="E138" s="16">
        <v>2020</v>
      </c>
      <c r="F138" s="16"/>
      <c r="G138" s="16">
        <v>12</v>
      </c>
      <c r="H138" s="17"/>
      <c r="I138" s="17"/>
      <c r="J138" s="17"/>
      <c r="K138" s="17"/>
      <c r="L138" s="17"/>
      <c r="M138" s="17"/>
    </row>
    <row r="139" spans="1:13" s="1" customFormat="1">
      <c r="A139" s="15"/>
      <c r="B139" s="16" t="s">
        <v>516</v>
      </c>
      <c r="C139" s="16" t="s">
        <v>239</v>
      </c>
      <c r="D139" s="16" t="s">
        <v>508</v>
      </c>
      <c r="E139" s="16" t="s">
        <v>566</v>
      </c>
      <c r="F139" s="16"/>
      <c r="G139" s="16">
        <v>19</v>
      </c>
      <c r="H139" s="17"/>
      <c r="I139" s="17"/>
      <c r="J139" s="17"/>
      <c r="K139" s="17"/>
      <c r="L139" s="17"/>
      <c r="M139" s="17"/>
    </row>
    <row r="140" spans="1:13" s="1" customFormat="1">
      <c r="A140" s="15"/>
      <c r="B140" s="16" t="s">
        <v>240</v>
      </c>
      <c r="C140" s="16" t="s">
        <v>241</v>
      </c>
      <c r="D140" s="16" t="s">
        <v>501</v>
      </c>
      <c r="E140" s="16">
        <v>2017</v>
      </c>
      <c r="F140" s="16"/>
      <c r="G140" s="16">
        <v>19</v>
      </c>
      <c r="H140" s="17"/>
      <c r="I140" s="17"/>
      <c r="J140" s="17"/>
      <c r="K140" s="17"/>
      <c r="L140" s="17"/>
      <c r="M140" s="17"/>
    </row>
    <row r="141" spans="1:13" s="1" customFormat="1">
      <c r="A141" s="15"/>
      <c r="B141" s="16" t="s">
        <v>242</v>
      </c>
      <c r="C141" s="16" t="s">
        <v>243</v>
      </c>
      <c r="D141" s="16" t="s">
        <v>501</v>
      </c>
      <c r="E141" s="16">
        <v>2016</v>
      </c>
      <c r="F141" s="16"/>
      <c r="G141" s="16">
        <v>19</v>
      </c>
      <c r="H141" s="17"/>
      <c r="I141" s="17"/>
      <c r="J141" s="17"/>
      <c r="K141" s="17"/>
      <c r="L141" s="17"/>
      <c r="M141" s="17"/>
    </row>
    <row r="142" spans="1:13" s="1" customFormat="1">
      <c r="A142" s="15"/>
      <c r="B142" s="16" t="s">
        <v>244</v>
      </c>
      <c r="C142" s="16" t="s">
        <v>245</v>
      </c>
      <c r="D142" s="16" t="s">
        <v>501</v>
      </c>
      <c r="E142" s="16">
        <v>2015</v>
      </c>
      <c r="F142" s="16"/>
      <c r="G142" s="16">
        <v>19</v>
      </c>
      <c r="H142" s="17"/>
      <c r="I142" s="17"/>
      <c r="J142" s="17"/>
      <c r="K142" s="17"/>
      <c r="L142" s="17"/>
      <c r="M142" s="17"/>
    </row>
    <row r="143" spans="1:13" s="1" customFormat="1">
      <c r="A143" s="15"/>
      <c r="B143" s="16" t="s">
        <v>246</v>
      </c>
      <c r="C143" s="16" t="s">
        <v>247</v>
      </c>
      <c r="D143" s="16" t="s">
        <v>501</v>
      </c>
      <c r="E143" s="16">
        <v>2014</v>
      </c>
      <c r="F143" s="16"/>
      <c r="G143" s="16">
        <v>19</v>
      </c>
      <c r="H143" s="17"/>
      <c r="I143" s="17"/>
      <c r="J143" s="17"/>
      <c r="K143" s="17"/>
      <c r="L143" s="17"/>
      <c r="M143" s="17"/>
    </row>
    <row r="144" spans="1:13" s="1" customFormat="1">
      <c r="A144" s="15"/>
      <c r="B144" s="16" t="s">
        <v>248</v>
      </c>
      <c r="C144" s="16" t="s">
        <v>249</v>
      </c>
      <c r="D144" s="16" t="s">
        <v>501</v>
      </c>
      <c r="E144" s="16">
        <v>2014</v>
      </c>
      <c r="F144" s="16"/>
      <c r="G144" s="16">
        <v>19</v>
      </c>
      <c r="H144" s="17"/>
      <c r="I144" s="17"/>
      <c r="J144" s="17"/>
      <c r="K144" s="17"/>
      <c r="L144" s="17"/>
      <c r="M144" s="17"/>
    </row>
    <row r="145" spans="1:13" s="1" customFormat="1">
      <c r="A145" s="15"/>
      <c r="B145" s="16" t="s">
        <v>250</v>
      </c>
      <c r="C145" s="16" t="s">
        <v>251</v>
      </c>
      <c r="D145" s="16" t="s">
        <v>501</v>
      </c>
      <c r="E145" s="16">
        <v>2013</v>
      </c>
      <c r="F145" s="16"/>
      <c r="G145" s="16">
        <v>26</v>
      </c>
      <c r="H145" s="17"/>
      <c r="I145" s="17"/>
      <c r="J145" s="17"/>
      <c r="K145" s="17"/>
      <c r="L145" s="17"/>
      <c r="M145" s="17"/>
    </row>
    <row r="146" spans="1:13" s="1" customFormat="1">
      <c r="A146" s="15"/>
      <c r="B146" s="16" t="s">
        <v>252</v>
      </c>
      <c r="C146" s="16" t="s">
        <v>253</v>
      </c>
      <c r="D146" s="16" t="s">
        <v>501</v>
      </c>
      <c r="E146" s="16">
        <v>2013</v>
      </c>
      <c r="F146" s="16"/>
      <c r="G146" s="16">
        <v>26</v>
      </c>
      <c r="H146" s="17"/>
      <c r="I146" s="17"/>
      <c r="J146" s="17"/>
      <c r="K146" s="17"/>
      <c r="L146" s="17"/>
      <c r="M146" s="17"/>
    </row>
    <row r="147" spans="1:13" s="1" customFormat="1">
      <c r="A147" s="15" t="s">
        <v>254</v>
      </c>
      <c r="B147" s="16" t="s">
        <v>496</v>
      </c>
      <c r="C147" s="16" t="s">
        <v>255</v>
      </c>
      <c r="D147" s="16" t="s">
        <v>487</v>
      </c>
      <c r="E147" s="16" t="s">
        <v>566</v>
      </c>
      <c r="F147" s="16">
        <v>2024</v>
      </c>
      <c r="G147" s="16">
        <v>12</v>
      </c>
      <c r="H147" s="17">
        <v>0.35</v>
      </c>
      <c r="I147" s="17">
        <v>0.34</v>
      </c>
      <c r="J147" s="17">
        <v>0.32</v>
      </c>
      <c r="K147" s="17">
        <v>0.37333575913891759</v>
      </c>
      <c r="L147" s="17">
        <v>0.34605196346601264</v>
      </c>
      <c r="M147" s="17">
        <v>0.32900406819018868</v>
      </c>
    </row>
    <row r="148" spans="1:13" s="1" customFormat="1">
      <c r="A148" s="15"/>
      <c r="B148" s="16" t="s">
        <v>256</v>
      </c>
      <c r="C148" s="16" t="s">
        <v>257</v>
      </c>
      <c r="D148" s="16" t="s">
        <v>501</v>
      </c>
      <c r="E148" s="16">
        <v>2017</v>
      </c>
      <c r="F148" s="16"/>
      <c r="G148" s="16">
        <v>19</v>
      </c>
      <c r="H148" s="17"/>
      <c r="I148" s="17"/>
      <c r="J148" s="17"/>
      <c r="K148" s="17"/>
      <c r="L148" s="17"/>
      <c r="M148" s="17"/>
    </row>
    <row r="149" spans="1:13" s="1" customFormat="1">
      <c r="A149" s="15"/>
      <c r="B149" s="16" t="s">
        <v>258</v>
      </c>
      <c r="C149" s="16" t="s">
        <v>259</v>
      </c>
      <c r="D149" s="16" t="s">
        <v>501</v>
      </c>
      <c r="E149" s="16">
        <v>2016</v>
      </c>
      <c r="F149" s="16"/>
      <c r="G149" s="16">
        <v>19</v>
      </c>
      <c r="H149" s="17"/>
      <c r="I149" s="17"/>
      <c r="J149" s="17"/>
      <c r="K149" s="17"/>
      <c r="L149" s="17"/>
      <c r="M149" s="17"/>
    </row>
    <row r="150" spans="1:13" s="1" customFormat="1">
      <c r="A150" s="15"/>
      <c r="B150" s="16" t="s">
        <v>260</v>
      </c>
      <c r="C150" s="16" t="s">
        <v>261</v>
      </c>
      <c r="D150" s="16" t="s">
        <v>501</v>
      </c>
      <c r="E150" s="16">
        <v>2016</v>
      </c>
      <c r="F150" s="16"/>
      <c r="G150" s="16">
        <v>19</v>
      </c>
      <c r="H150" s="17"/>
      <c r="I150" s="17"/>
      <c r="J150" s="17"/>
      <c r="K150" s="17"/>
      <c r="L150" s="17"/>
      <c r="M150" s="17"/>
    </row>
    <row r="151" spans="1:13" s="1" customFormat="1">
      <c r="A151" s="15"/>
      <c r="B151" s="16" t="s">
        <v>262</v>
      </c>
      <c r="C151" s="16" t="s">
        <v>263</v>
      </c>
      <c r="D151" s="16" t="s">
        <v>501</v>
      </c>
      <c r="E151" s="16">
        <v>2016</v>
      </c>
      <c r="F151" s="16"/>
      <c r="G151" s="16">
        <v>19</v>
      </c>
      <c r="H151" s="17"/>
      <c r="I151" s="17"/>
      <c r="J151" s="17"/>
      <c r="K151" s="17"/>
      <c r="L151" s="17"/>
      <c r="M151" s="17"/>
    </row>
    <row r="152" spans="1:13" s="1" customFormat="1">
      <c r="A152" s="15"/>
      <c r="B152" s="16" t="s">
        <v>264</v>
      </c>
      <c r="C152" s="16" t="s">
        <v>265</v>
      </c>
      <c r="D152" s="16" t="s">
        <v>501</v>
      </c>
      <c r="E152" s="16">
        <v>2015</v>
      </c>
      <c r="F152" s="16"/>
      <c r="G152" s="16">
        <v>19</v>
      </c>
      <c r="H152" s="17"/>
      <c r="I152" s="17"/>
      <c r="J152" s="17"/>
      <c r="K152" s="17"/>
      <c r="L152" s="17"/>
      <c r="M152" s="17"/>
    </row>
    <row r="153" spans="1:13" s="1" customFormat="1">
      <c r="A153" s="15"/>
      <c r="B153" s="16" t="s">
        <v>266</v>
      </c>
      <c r="C153" s="16" t="s">
        <v>267</v>
      </c>
      <c r="D153" s="16" t="s">
        <v>501</v>
      </c>
      <c r="E153" s="16">
        <v>2014</v>
      </c>
      <c r="F153" s="16"/>
      <c r="G153" s="16">
        <v>19</v>
      </c>
      <c r="H153" s="17"/>
      <c r="I153" s="17"/>
      <c r="J153" s="17"/>
      <c r="K153" s="17"/>
      <c r="L153" s="17"/>
      <c r="M153" s="17"/>
    </row>
    <row r="154" spans="1:13" s="1" customFormat="1">
      <c r="A154" s="15"/>
      <c r="B154" s="16" t="s">
        <v>268</v>
      </c>
      <c r="C154" s="16" t="s">
        <v>269</v>
      </c>
      <c r="D154" s="16" t="s">
        <v>501</v>
      </c>
      <c r="E154" s="16">
        <v>2014</v>
      </c>
      <c r="F154" s="16"/>
      <c r="G154" s="16">
        <v>19</v>
      </c>
      <c r="H154" s="17"/>
      <c r="I154" s="17"/>
      <c r="J154" s="17"/>
      <c r="K154" s="17"/>
      <c r="L154" s="17"/>
      <c r="M154" s="17"/>
    </row>
    <row r="155" spans="1:13" s="1" customFormat="1">
      <c r="A155" s="15"/>
      <c r="B155" s="16" t="s">
        <v>270</v>
      </c>
      <c r="C155" s="16" t="s">
        <v>271</v>
      </c>
      <c r="D155" s="16" t="s">
        <v>501</v>
      </c>
      <c r="E155" s="16">
        <v>2013</v>
      </c>
      <c r="F155" s="16"/>
      <c r="G155" s="16">
        <v>19</v>
      </c>
      <c r="H155" s="17"/>
      <c r="I155" s="17"/>
      <c r="J155" s="17"/>
      <c r="K155" s="17"/>
      <c r="L155" s="17"/>
      <c r="M155" s="17"/>
    </row>
    <row r="156" spans="1:13" s="1" customFormat="1">
      <c r="A156" s="15"/>
      <c r="B156" s="16" t="s">
        <v>517</v>
      </c>
      <c r="C156" s="16" t="s">
        <v>272</v>
      </c>
      <c r="D156" s="16" t="s">
        <v>508</v>
      </c>
      <c r="E156" s="16">
        <v>2013</v>
      </c>
      <c r="F156" s="16"/>
      <c r="G156" s="16">
        <v>19</v>
      </c>
      <c r="H156" s="17"/>
      <c r="I156" s="17"/>
      <c r="J156" s="17"/>
      <c r="K156" s="17"/>
      <c r="L156" s="17"/>
      <c r="M156" s="17"/>
    </row>
    <row r="157" spans="1:13" s="1" customFormat="1">
      <c r="A157" s="15"/>
      <c r="B157" s="16" t="s">
        <v>536</v>
      </c>
      <c r="C157" s="16" t="s">
        <v>556</v>
      </c>
      <c r="D157" s="16" t="s">
        <v>487</v>
      </c>
      <c r="E157" s="16" t="s">
        <v>566</v>
      </c>
      <c r="F157" s="16">
        <v>2023</v>
      </c>
      <c r="G157" s="16"/>
      <c r="H157" s="17"/>
      <c r="I157" s="17"/>
      <c r="J157" s="17"/>
      <c r="K157" s="17"/>
      <c r="L157" s="17"/>
      <c r="M157" s="17"/>
    </row>
    <row r="158" spans="1:13" s="1" customFormat="1">
      <c r="A158" s="15"/>
      <c r="B158" s="16" t="s">
        <v>273</v>
      </c>
      <c r="C158" s="16" t="s">
        <v>274</v>
      </c>
      <c r="D158" s="16" t="s">
        <v>501</v>
      </c>
      <c r="E158" s="16">
        <v>2018</v>
      </c>
      <c r="F158" s="16"/>
      <c r="G158" s="16">
        <v>12</v>
      </c>
      <c r="H158" s="17"/>
      <c r="I158" s="17"/>
      <c r="J158" s="17"/>
      <c r="K158" s="17"/>
      <c r="L158" s="17"/>
      <c r="M158" s="17"/>
    </row>
    <row r="159" spans="1:13" s="1" customFormat="1">
      <c r="A159" s="15" t="s">
        <v>275</v>
      </c>
      <c r="B159" s="16" t="s">
        <v>276</v>
      </c>
      <c r="C159" s="16" t="s">
        <v>562</v>
      </c>
      <c r="D159" s="16" t="s">
        <v>501</v>
      </c>
      <c r="E159" s="16">
        <v>2021</v>
      </c>
      <c r="F159" s="16"/>
      <c r="G159" s="16">
        <v>12</v>
      </c>
      <c r="H159" s="17">
        <v>0.32</v>
      </c>
      <c r="I159" s="17">
        <v>0.28999999999999998</v>
      </c>
      <c r="J159" s="17">
        <v>0.28999999999999998</v>
      </c>
      <c r="K159" s="17">
        <v>0.28262916697672419</v>
      </c>
      <c r="L159" s="17">
        <v>0.28210022044456923</v>
      </c>
      <c r="M159" s="17">
        <v>0.26993396380144496</v>
      </c>
    </row>
    <row r="160" spans="1:13" s="1" customFormat="1">
      <c r="A160" s="15"/>
      <c r="B160" s="16" t="s">
        <v>277</v>
      </c>
      <c r="C160" s="16" t="s">
        <v>278</v>
      </c>
      <c r="D160" s="16" t="s">
        <v>501</v>
      </c>
      <c r="E160" s="16">
        <v>2019</v>
      </c>
      <c r="F160" s="16"/>
      <c r="G160" s="16">
        <v>12</v>
      </c>
      <c r="H160" s="17"/>
      <c r="I160" s="17"/>
      <c r="J160" s="17"/>
      <c r="K160" s="17"/>
      <c r="L160" s="17"/>
      <c r="M160" s="17"/>
    </row>
    <row r="161" spans="1:13" s="1" customFormat="1">
      <c r="A161" s="15"/>
      <c r="B161" s="16" t="s">
        <v>279</v>
      </c>
      <c r="C161" s="16" t="s">
        <v>280</v>
      </c>
      <c r="D161" s="16" t="s">
        <v>501</v>
      </c>
      <c r="E161" s="16">
        <v>2017</v>
      </c>
      <c r="F161" s="16"/>
      <c r="G161" s="16">
        <v>19</v>
      </c>
      <c r="H161" s="17"/>
      <c r="I161" s="17"/>
      <c r="J161" s="17"/>
      <c r="K161" s="17"/>
      <c r="L161" s="17"/>
      <c r="M161" s="17"/>
    </row>
    <row r="162" spans="1:13" s="1" customFormat="1">
      <c r="A162" s="15"/>
      <c r="B162" s="16" t="s">
        <v>281</v>
      </c>
      <c r="C162" s="16" t="s">
        <v>282</v>
      </c>
      <c r="D162" s="16" t="s">
        <v>501</v>
      </c>
      <c r="E162" s="16">
        <v>2016</v>
      </c>
      <c r="F162" s="16"/>
      <c r="G162" s="16">
        <v>19</v>
      </c>
      <c r="H162" s="17"/>
      <c r="I162" s="17"/>
      <c r="J162" s="17"/>
      <c r="K162" s="17"/>
      <c r="L162" s="17"/>
      <c r="M162" s="17"/>
    </row>
    <row r="163" spans="1:13" s="1" customFormat="1">
      <c r="A163" s="15"/>
      <c r="B163" s="16" t="s">
        <v>283</v>
      </c>
      <c r="C163" s="16" t="s">
        <v>284</v>
      </c>
      <c r="D163" s="16" t="s">
        <v>501</v>
      </c>
      <c r="E163" s="16">
        <v>2015</v>
      </c>
      <c r="F163" s="16"/>
      <c r="G163" s="16">
        <v>19</v>
      </c>
      <c r="H163" s="17"/>
      <c r="I163" s="17"/>
      <c r="J163" s="17"/>
      <c r="K163" s="17"/>
      <c r="L163" s="17"/>
      <c r="M163" s="17"/>
    </row>
    <row r="164" spans="1:13" s="1" customFormat="1">
      <c r="A164" s="15"/>
      <c r="B164" s="16" t="s">
        <v>285</v>
      </c>
      <c r="C164" s="16" t="s">
        <v>286</v>
      </c>
      <c r="D164" s="16" t="s">
        <v>501</v>
      </c>
      <c r="E164" s="16">
        <v>2014</v>
      </c>
      <c r="F164" s="16"/>
      <c r="G164" s="16">
        <v>19</v>
      </c>
      <c r="H164" s="17"/>
      <c r="I164" s="17"/>
      <c r="J164" s="17"/>
      <c r="K164" s="17"/>
      <c r="L164" s="17"/>
      <c r="M164" s="17"/>
    </row>
    <row r="165" spans="1:13" s="1" customFormat="1">
      <c r="A165" s="15"/>
      <c r="B165" s="16" t="s">
        <v>287</v>
      </c>
      <c r="C165" s="16" t="s">
        <v>288</v>
      </c>
      <c r="D165" s="16" t="s">
        <v>501</v>
      </c>
      <c r="E165" s="16">
        <v>2014</v>
      </c>
      <c r="F165" s="16"/>
      <c r="G165" s="16">
        <v>19</v>
      </c>
      <c r="H165" s="17"/>
      <c r="I165" s="17"/>
      <c r="J165" s="17"/>
      <c r="K165" s="17"/>
      <c r="L165" s="17"/>
      <c r="M165" s="17"/>
    </row>
    <row r="166" spans="1:13" s="1" customFormat="1">
      <c r="A166" s="15"/>
      <c r="B166" s="16" t="s">
        <v>289</v>
      </c>
      <c r="C166" s="16" t="s">
        <v>290</v>
      </c>
      <c r="D166" s="16" t="s">
        <v>501</v>
      </c>
      <c r="E166" s="16">
        <v>2014</v>
      </c>
      <c r="F166" s="16"/>
      <c r="G166" s="16">
        <v>19</v>
      </c>
      <c r="H166" s="17"/>
      <c r="I166" s="17"/>
      <c r="J166" s="17"/>
      <c r="K166" s="17"/>
      <c r="L166" s="17"/>
      <c r="M166" s="17"/>
    </row>
    <row r="167" spans="1:13" s="1" customFormat="1">
      <c r="A167" s="15"/>
      <c r="B167" s="16" t="s">
        <v>291</v>
      </c>
      <c r="C167" s="16" t="s">
        <v>292</v>
      </c>
      <c r="D167" s="16" t="s">
        <v>501</v>
      </c>
      <c r="E167" s="16">
        <v>2013</v>
      </c>
      <c r="F167" s="16"/>
      <c r="G167" s="16">
        <v>26</v>
      </c>
      <c r="H167" s="17"/>
      <c r="I167" s="17"/>
      <c r="J167" s="17"/>
      <c r="K167" s="17"/>
      <c r="L167" s="17"/>
      <c r="M167" s="17"/>
    </row>
    <row r="168" spans="1:13" s="1" customFormat="1">
      <c r="A168" s="15"/>
      <c r="B168" s="16" t="s">
        <v>518</v>
      </c>
      <c r="C168" s="16" t="s">
        <v>293</v>
      </c>
      <c r="D168" s="16" t="s">
        <v>508</v>
      </c>
      <c r="E168" s="16">
        <v>2013</v>
      </c>
      <c r="F168" s="16"/>
      <c r="G168" s="16">
        <v>26</v>
      </c>
      <c r="H168" s="17"/>
      <c r="I168" s="17"/>
      <c r="J168" s="17"/>
      <c r="K168" s="17"/>
      <c r="L168" s="17"/>
      <c r="M168" s="17"/>
    </row>
    <row r="169" spans="1:13" s="1" customFormat="1">
      <c r="A169" s="15"/>
      <c r="B169" s="16" t="s">
        <v>519</v>
      </c>
      <c r="C169" s="16" t="s">
        <v>294</v>
      </c>
      <c r="D169" s="16" t="s">
        <v>508</v>
      </c>
      <c r="E169" s="16">
        <v>2013</v>
      </c>
      <c r="F169" s="16"/>
      <c r="G169" s="16">
        <v>26</v>
      </c>
      <c r="H169" s="17"/>
      <c r="I169" s="17"/>
      <c r="J169" s="17"/>
      <c r="K169" s="17"/>
      <c r="L169" s="17"/>
      <c r="M169" s="17"/>
    </row>
    <row r="170" spans="1:13" s="1" customFormat="1">
      <c r="A170" s="15"/>
      <c r="B170" s="16" t="s">
        <v>295</v>
      </c>
      <c r="C170" s="16" t="s">
        <v>296</v>
      </c>
      <c r="D170" s="16" t="s">
        <v>501</v>
      </c>
      <c r="E170" s="16">
        <v>2013</v>
      </c>
      <c r="F170" s="16"/>
      <c r="G170" s="16">
        <v>26</v>
      </c>
      <c r="H170" s="17"/>
      <c r="I170" s="17"/>
      <c r="J170" s="17"/>
      <c r="K170" s="17"/>
      <c r="L170" s="17"/>
      <c r="M170" s="17"/>
    </row>
    <row r="171" spans="1:13" s="1" customFormat="1">
      <c r="A171" s="15"/>
      <c r="B171" s="16" t="s">
        <v>297</v>
      </c>
      <c r="C171" s="16" t="s">
        <v>298</v>
      </c>
      <c r="D171" s="16" t="s">
        <v>501</v>
      </c>
      <c r="E171" s="16">
        <v>2018</v>
      </c>
      <c r="F171" s="16"/>
      <c r="G171" s="16">
        <v>19</v>
      </c>
      <c r="H171" s="17"/>
      <c r="I171" s="17"/>
      <c r="J171" s="17"/>
      <c r="K171" s="17"/>
      <c r="L171" s="17"/>
      <c r="M171" s="17"/>
    </row>
    <row r="172" spans="1:13" s="1" customFormat="1">
      <c r="A172" s="15"/>
      <c r="B172" s="16" t="s">
        <v>299</v>
      </c>
      <c r="C172" s="16" t="s">
        <v>300</v>
      </c>
      <c r="D172" s="16" t="s">
        <v>501</v>
      </c>
      <c r="E172" s="16">
        <v>2021</v>
      </c>
      <c r="F172" s="16"/>
      <c r="G172" s="16">
        <v>19</v>
      </c>
      <c r="H172" s="17"/>
      <c r="I172" s="17"/>
      <c r="J172" s="17"/>
      <c r="K172" s="17"/>
      <c r="L172" s="17"/>
      <c r="M172" s="17"/>
    </row>
    <row r="173" spans="1:13" s="1" customFormat="1">
      <c r="A173" s="15" t="s">
        <v>301</v>
      </c>
      <c r="B173" s="16" t="s">
        <v>497</v>
      </c>
      <c r="C173" s="16" t="s">
        <v>302</v>
      </c>
      <c r="D173" s="16" t="s">
        <v>487</v>
      </c>
      <c r="E173" s="16" t="s">
        <v>566</v>
      </c>
      <c r="F173" s="16">
        <v>2024</v>
      </c>
      <c r="G173" s="16">
        <v>12</v>
      </c>
      <c r="H173" s="17">
        <v>0.28999999999999998</v>
      </c>
      <c r="I173" s="17">
        <v>0.22</v>
      </c>
      <c r="J173" s="17">
        <v>0.24</v>
      </c>
      <c r="K173" s="17">
        <v>0.28007948356244705</v>
      </c>
      <c r="L173" s="17">
        <v>0.29578120368124611</v>
      </c>
      <c r="M173" s="17">
        <v>0.35412654246129066</v>
      </c>
    </row>
    <row r="174" spans="1:13" s="1" customFormat="1">
      <c r="A174" s="15"/>
      <c r="B174" s="16" t="s">
        <v>303</v>
      </c>
      <c r="C174" s="16" t="s">
        <v>304</v>
      </c>
      <c r="D174" s="16" t="s">
        <v>486</v>
      </c>
      <c r="E174" s="16">
        <v>2017</v>
      </c>
      <c r="F174" s="16">
        <v>2025</v>
      </c>
      <c r="G174" s="16">
        <v>19</v>
      </c>
      <c r="H174" s="17"/>
      <c r="I174" s="17"/>
      <c r="J174" s="17"/>
      <c r="K174" s="17"/>
      <c r="L174" s="17"/>
      <c r="M174" s="17"/>
    </row>
    <row r="175" spans="1:13" s="1" customFormat="1">
      <c r="A175" s="15"/>
      <c r="B175" s="16" t="s">
        <v>498</v>
      </c>
      <c r="C175" s="16" t="s">
        <v>305</v>
      </c>
      <c r="D175" s="16" t="s">
        <v>501</v>
      </c>
      <c r="E175" s="16">
        <v>2016</v>
      </c>
      <c r="F175" s="16"/>
      <c r="G175" s="16">
        <v>12</v>
      </c>
      <c r="H175" s="17"/>
      <c r="I175" s="17"/>
      <c r="J175" s="17"/>
      <c r="K175" s="17"/>
      <c r="L175" s="17"/>
      <c r="M175" s="17"/>
    </row>
    <row r="176" spans="1:13" s="1" customFormat="1" ht="17.25">
      <c r="A176" s="15"/>
      <c r="B176" s="19" t="s">
        <v>573</v>
      </c>
      <c r="C176" s="16" t="s">
        <v>306</v>
      </c>
      <c r="D176" s="16" t="s">
        <v>487</v>
      </c>
      <c r="E176" s="16">
        <v>2015</v>
      </c>
      <c r="F176" s="16">
        <v>2024</v>
      </c>
      <c r="G176" s="16">
        <v>19</v>
      </c>
      <c r="H176" s="17"/>
      <c r="I176" s="17"/>
      <c r="J176" s="17"/>
      <c r="K176" s="17"/>
      <c r="L176" s="17"/>
      <c r="M176" s="17"/>
    </row>
    <row r="177" spans="1:13" s="1" customFormat="1">
      <c r="A177" s="15"/>
      <c r="B177" s="16" t="s">
        <v>307</v>
      </c>
      <c r="C177" s="16" t="s">
        <v>308</v>
      </c>
      <c r="D177" s="16" t="s">
        <v>501</v>
      </c>
      <c r="E177" s="16">
        <v>2014</v>
      </c>
      <c r="F177" s="16"/>
      <c r="G177" s="16">
        <v>19</v>
      </c>
      <c r="H177" s="17"/>
      <c r="I177" s="17"/>
      <c r="J177" s="17"/>
      <c r="K177" s="17"/>
      <c r="L177" s="17"/>
      <c r="M177" s="17"/>
    </row>
    <row r="178" spans="1:13" s="1" customFormat="1">
      <c r="A178" s="15"/>
      <c r="B178" s="16" t="s">
        <v>309</v>
      </c>
      <c r="C178" s="16" t="s">
        <v>310</v>
      </c>
      <c r="D178" s="16" t="s">
        <v>501</v>
      </c>
      <c r="E178" s="16">
        <v>2014</v>
      </c>
      <c r="F178" s="16"/>
      <c r="G178" s="16">
        <v>19</v>
      </c>
      <c r="H178" s="17"/>
      <c r="I178" s="17"/>
      <c r="J178" s="17"/>
      <c r="K178" s="17"/>
      <c r="L178" s="17"/>
      <c r="M178" s="17"/>
    </row>
    <row r="179" spans="1:13" s="1" customFormat="1">
      <c r="A179" s="15"/>
      <c r="B179" s="16" t="s">
        <v>537</v>
      </c>
      <c r="C179" s="16" t="s">
        <v>557</v>
      </c>
      <c r="D179" s="16" t="s">
        <v>487</v>
      </c>
      <c r="E179" s="16">
        <v>2014</v>
      </c>
      <c r="F179" s="16">
        <v>2023</v>
      </c>
      <c r="G179" s="16"/>
      <c r="H179" s="17"/>
      <c r="I179" s="17"/>
      <c r="J179" s="17"/>
      <c r="K179" s="17"/>
      <c r="L179" s="17"/>
      <c r="M179" s="17"/>
    </row>
    <row r="180" spans="1:13" s="1" customFormat="1">
      <c r="A180" s="15"/>
      <c r="B180" s="16" t="s">
        <v>538</v>
      </c>
      <c r="C180" s="16" t="s">
        <v>558</v>
      </c>
      <c r="D180" s="16" t="s">
        <v>487</v>
      </c>
      <c r="E180" s="16" t="s">
        <v>566</v>
      </c>
      <c r="F180" s="16">
        <v>2022</v>
      </c>
      <c r="G180" s="16"/>
      <c r="H180" s="17"/>
      <c r="I180" s="17"/>
      <c r="J180" s="17"/>
      <c r="K180" s="17"/>
      <c r="L180" s="17"/>
      <c r="M180" s="17"/>
    </row>
    <row r="181" spans="1:13" s="1" customFormat="1">
      <c r="A181" s="15"/>
      <c r="B181" s="16" t="s">
        <v>311</v>
      </c>
      <c r="C181" s="16" t="s">
        <v>312</v>
      </c>
      <c r="D181" s="16" t="s">
        <v>501</v>
      </c>
      <c r="E181" s="16">
        <v>2013</v>
      </c>
      <c r="F181" s="16"/>
      <c r="G181" s="16">
        <v>19</v>
      </c>
      <c r="H181" s="17"/>
      <c r="I181" s="17"/>
      <c r="J181" s="17"/>
      <c r="K181" s="17"/>
      <c r="L181" s="17"/>
      <c r="M181" s="17"/>
    </row>
    <row r="182" spans="1:13" s="1" customFormat="1">
      <c r="A182" s="15"/>
      <c r="B182" s="16" t="s">
        <v>539</v>
      </c>
      <c r="C182" s="16" t="s">
        <v>559</v>
      </c>
      <c r="D182" s="16" t="s">
        <v>487</v>
      </c>
      <c r="E182" s="16">
        <v>2019</v>
      </c>
      <c r="F182" s="16">
        <v>2022</v>
      </c>
      <c r="G182" s="16"/>
      <c r="H182" s="17"/>
      <c r="I182" s="17"/>
      <c r="J182" s="17"/>
      <c r="K182" s="17"/>
      <c r="L182" s="17"/>
      <c r="M182" s="17"/>
    </row>
    <row r="183" spans="1:13" s="1" customFormat="1">
      <c r="A183" s="15"/>
      <c r="B183" s="16" t="s">
        <v>591</v>
      </c>
      <c r="C183" s="16" t="s">
        <v>478</v>
      </c>
      <c r="D183" s="16" t="s">
        <v>501</v>
      </c>
      <c r="E183" s="16">
        <v>2013</v>
      </c>
      <c r="F183" s="16"/>
      <c r="G183" s="16">
        <v>19</v>
      </c>
      <c r="H183" s="17"/>
      <c r="I183" s="17"/>
      <c r="J183" s="17"/>
      <c r="K183" s="17"/>
      <c r="L183" s="17"/>
      <c r="M183" s="17"/>
    </row>
    <row r="184" spans="1:13" s="1" customFormat="1">
      <c r="A184" s="15"/>
      <c r="B184" s="16" t="s">
        <v>313</v>
      </c>
      <c r="C184" s="16" t="s">
        <v>314</v>
      </c>
      <c r="D184" s="16" t="s">
        <v>501</v>
      </c>
      <c r="E184" s="16">
        <v>2018</v>
      </c>
      <c r="F184" s="16"/>
      <c r="G184" s="16">
        <v>19</v>
      </c>
      <c r="H184" s="17"/>
      <c r="I184" s="17"/>
      <c r="J184" s="17"/>
      <c r="K184" s="17"/>
      <c r="L184" s="17"/>
      <c r="M184" s="17"/>
    </row>
    <row r="185" spans="1:13" s="1" customFormat="1">
      <c r="A185" s="15" t="s">
        <v>315</v>
      </c>
      <c r="B185" s="16" t="s">
        <v>316</v>
      </c>
      <c r="C185" s="16" t="s">
        <v>317</v>
      </c>
      <c r="D185" s="16" t="s">
        <v>501</v>
      </c>
      <c r="E185" s="16">
        <v>2019</v>
      </c>
      <c r="F185" s="16"/>
      <c r="G185" s="16">
        <v>12</v>
      </c>
      <c r="H185" s="17">
        <v>0.27</v>
      </c>
      <c r="I185" s="17">
        <v>0.22</v>
      </c>
      <c r="J185" s="17">
        <v>0.22</v>
      </c>
      <c r="K185" s="17">
        <v>0.25306376847636142</v>
      </c>
      <c r="L185" s="17">
        <v>0.20683381958924649</v>
      </c>
      <c r="M185" s="17">
        <v>0.18492443687336158</v>
      </c>
    </row>
    <row r="186" spans="1:13" s="1" customFormat="1">
      <c r="A186" s="15"/>
      <c r="B186" s="16" t="s">
        <v>499</v>
      </c>
      <c r="C186" s="16" t="s">
        <v>318</v>
      </c>
      <c r="D186" s="16" t="s">
        <v>487</v>
      </c>
      <c r="E186" s="16" t="s">
        <v>566</v>
      </c>
      <c r="F186" s="16">
        <v>2024</v>
      </c>
      <c r="G186" s="16">
        <v>12</v>
      </c>
      <c r="H186" s="17"/>
      <c r="I186" s="17"/>
      <c r="J186" s="17"/>
      <c r="K186" s="17"/>
      <c r="L186" s="17"/>
      <c r="M186" s="17"/>
    </row>
    <row r="187" spans="1:13" s="1" customFormat="1">
      <c r="A187" s="15"/>
      <c r="B187" s="16" t="s">
        <v>574</v>
      </c>
      <c r="C187" s="16" t="s">
        <v>319</v>
      </c>
      <c r="D187" s="16" t="s">
        <v>487</v>
      </c>
      <c r="E187" s="16" t="s">
        <v>566</v>
      </c>
      <c r="F187" s="16">
        <v>2024</v>
      </c>
      <c r="G187" s="16">
        <v>12</v>
      </c>
      <c r="H187" s="17"/>
      <c r="I187" s="17"/>
      <c r="J187" s="17"/>
      <c r="K187" s="17"/>
      <c r="L187" s="17"/>
      <c r="M187" s="17"/>
    </row>
    <row r="188" spans="1:13" s="1" customFormat="1">
      <c r="A188" s="15"/>
      <c r="B188" s="16" t="s">
        <v>592</v>
      </c>
      <c r="C188" s="16" t="s">
        <v>320</v>
      </c>
      <c r="D188" s="16" t="s">
        <v>508</v>
      </c>
      <c r="E188" s="16" t="s">
        <v>566</v>
      </c>
      <c r="F188" s="16"/>
      <c r="G188" s="16">
        <v>12</v>
      </c>
      <c r="H188" s="17"/>
      <c r="I188" s="17"/>
      <c r="J188" s="17"/>
      <c r="K188" s="17"/>
      <c r="L188" s="17"/>
      <c r="M188" s="17"/>
    </row>
    <row r="189" spans="1:13" s="1" customFormat="1">
      <c r="A189" s="15"/>
      <c r="B189" s="16" t="s">
        <v>321</v>
      </c>
      <c r="C189" s="16" t="s">
        <v>322</v>
      </c>
      <c r="D189" s="16" t="s">
        <v>501</v>
      </c>
      <c r="E189" s="16">
        <v>2014</v>
      </c>
      <c r="F189" s="16"/>
      <c r="G189" s="16">
        <v>19</v>
      </c>
      <c r="H189" s="17"/>
      <c r="I189" s="17"/>
      <c r="J189" s="17"/>
      <c r="K189" s="17"/>
      <c r="L189" s="17"/>
      <c r="M189" s="17"/>
    </row>
    <row r="190" spans="1:13" s="1" customFormat="1">
      <c r="A190" s="15"/>
      <c r="B190" s="16" t="s">
        <v>323</v>
      </c>
      <c r="C190" s="16" t="s">
        <v>324</v>
      </c>
      <c r="D190" s="16" t="s">
        <v>486</v>
      </c>
      <c r="E190" s="16">
        <v>2013</v>
      </c>
      <c r="F190" s="16">
        <v>2025</v>
      </c>
      <c r="G190" s="16">
        <v>12</v>
      </c>
      <c r="H190" s="17"/>
      <c r="I190" s="17"/>
      <c r="J190" s="17"/>
      <c r="K190" s="17"/>
      <c r="L190" s="17"/>
      <c r="M190" s="17"/>
    </row>
    <row r="191" spans="1:13" s="1" customFormat="1">
      <c r="A191" s="15"/>
      <c r="B191" s="16" t="s">
        <v>325</v>
      </c>
      <c r="C191" s="16" t="s">
        <v>326</v>
      </c>
      <c r="D191" s="16" t="s">
        <v>501</v>
      </c>
      <c r="E191" s="16">
        <v>2013</v>
      </c>
      <c r="F191" s="16"/>
      <c r="G191" s="16">
        <v>19</v>
      </c>
      <c r="H191" s="17"/>
      <c r="I191" s="17"/>
      <c r="J191" s="17"/>
      <c r="K191" s="17"/>
      <c r="L191" s="17"/>
      <c r="M191" s="17"/>
    </row>
    <row r="192" spans="1:13" s="1" customFormat="1">
      <c r="A192" s="15"/>
      <c r="B192" s="16" t="s">
        <v>327</v>
      </c>
      <c r="C192" s="16" t="s">
        <v>328</v>
      </c>
      <c r="D192" s="16" t="s">
        <v>501</v>
      </c>
      <c r="E192" s="16">
        <v>2013</v>
      </c>
      <c r="F192" s="16"/>
      <c r="G192" s="16">
        <v>26</v>
      </c>
      <c r="H192" s="17"/>
      <c r="I192" s="17"/>
      <c r="J192" s="17"/>
      <c r="K192" s="17"/>
      <c r="L192" s="17"/>
      <c r="M192" s="17"/>
    </row>
    <row r="193" spans="1:13" s="1" customFormat="1">
      <c r="A193" s="15"/>
      <c r="B193" s="16" t="s">
        <v>479</v>
      </c>
      <c r="C193" s="16" t="s">
        <v>480</v>
      </c>
      <c r="D193" s="16" t="s">
        <v>487</v>
      </c>
      <c r="E193" s="16">
        <v>2017</v>
      </c>
      <c r="F193" s="16">
        <v>2023</v>
      </c>
      <c r="G193" s="16">
        <v>19</v>
      </c>
      <c r="H193" s="17"/>
      <c r="I193" s="17"/>
      <c r="J193" s="17"/>
      <c r="K193" s="17"/>
      <c r="L193" s="17"/>
      <c r="M193" s="17"/>
    </row>
    <row r="194" spans="1:13" s="1" customFormat="1">
      <c r="A194" s="15"/>
      <c r="B194" s="16" t="s">
        <v>329</v>
      </c>
      <c r="C194" s="16" t="s">
        <v>330</v>
      </c>
      <c r="D194" s="16" t="s">
        <v>501</v>
      </c>
      <c r="E194" s="16">
        <v>2018</v>
      </c>
      <c r="F194" s="16"/>
      <c r="G194" s="16">
        <v>19</v>
      </c>
      <c r="H194" s="17"/>
      <c r="I194" s="17"/>
      <c r="J194" s="17"/>
      <c r="K194" s="17"/>
      <c r="L194" s="17"/>
      <c r="M194" s="17"/>
    </row>
    <row r="195" spans="1:13" s="1" customFormat="1">
      <c r="A195" s="15" t="s">
        <v>331</v>
      </c>
      <c r="B195" s="16" t="s">
        <v>540</v>
      </c>
      <c r="C195" s="16" t="s">
        <v>332</v>
      </c>
      <c r="D195" s="16" t="s">
        <v>487</v>
      </c>
      <c r="E195" s="16" t="s">
        <v>566</v>
      </c>
      <c r="F195" s="16">
        <v>2024</v>
      </c>
      <c r="G195" s="16">
        <v>12</v>
      </c>
      <c r="H195" s="17">
        <v>0.35</v>
      </c>
      <c r="I195" s="17">
        <v>0.35</v>
      </c>
      <c r="J195" s="17">
        <v>0.32</v>
      </c>
      <c r="K195" s="17">
        <v>0.33254411207619455</v>
      </c>
      <c r="L195" s="17">
        <v>0.31536378048474822</v>
      </c>
      <c r="M195" s="17">
        <v>0.29191953859823128</v>
      </c>
    </row>
    <row r="196" spans="1:13" s="1" customFormat="1">
      <c r="A196" s="15"/>
      <c r="B196" s="16" t="s">
        <v>333</v>
      </c>
      <c r="C196" s="16" t="s">
        <v>334</v>
      </c>
      <c r="D196" s="16" t="s">
        <v>501</v>
      </c>
      <c r="E196" s="16">
        <v>2013</v>
      </c>
      <c r="F196" s="16"/>
      <c r="G196" s="16">
        <v>19</v>
      </c>
      <c r="H196" s="17"/>
      <c r="I196" s="17"/>
      <c r="J196" s="17"/>
      <c r="K196" s="17"/>
      <c r="L196" s="17"/>
      <c r="M196" s="17"/>
    </row>
    <row r="197" spans="1:13" s="1" customFormat="1">
      <c r="A197" s="15"/>
      <c r="B197" s="16" t="s">
        <v>520</v>
      </c>
      <c r="C197" s="16" t="s">
        <v>335</v>
      </c>
      <c r="D197" s="16" t="s">
        <v>508</v>
      </c>
      <c r="E197" s="16" t="s">
        <v>566</v>
      </c>
      <c r="F197" s="16"/>
      <c r="G197" s="16">
        <v>12</v>
      </c>
      <c r="H197" s="17"/>
      <c r="I197" s="17"/>
      <c r="J197" s="17"/>
      <c r="K197" s="17"/>
      <c r="L197" s="17"/>
      <c r="M197" s="17"/>
    </row>
    <row r="198" spans="1:13" s="1" customFormat="1">
      <c r="A198" s="15"/>
      <c r="B198" s="16" t="s">
        <v>336</v>
      </c>
      <c r="C198" s="16" t="s">
        <v>337</v>
      </c>
      <c r="D198" s="16" t="s">
        <v>501</v>
      </c>
      <c r="E198" s="16">
        <v>2017</v>
      </c>
      <c r="F198" s="16"/>
      <c r="G198" s="16">
        <v>12</v>
      </c>
      <c r="H198" s="17"/>
      <c r="I198" s="17"/>
      <c r="J198" s="17"/>
      <c r="K198" s="17"/>
      <c r="L198" s="17"/>
      <c r="M198" s="17"/>
    </row>
    <row r="199" spans="1:13" s="1" customFormat="1">
      <c r="A199" s="15"/>
      <c r="B199" s="16" t="s">
        <v>338</v>
      </c>
      <c r="C199" s="16" t="s">
        <v>339</v>
      </c>
      <c r="D199" s="16" t="s">
        <v>501</v>
      </c>
      <c r="E199" s="16">
        <v>2016</v>
      </c>
      <c r="F199" s="16"/>
      <c r="G199" s="16">
        <v>19</v>
      </c>
      <c r="H199" s="17"/>
      <c r="I199" s="17"/>
      <c r="J199" s="17"/>
      <c r="K199" s="17"/>
      <c r="L199" s="17"/>
      <c r="M199" s="17"/>
    </row>
    <row r="200" spans="1:13" s="1" customFormat="1">
      <c r="A200" s="15"/>
      <c r="B200" s="16" t="s">
        <v>340</v>
      </c>
      <c r="C200" s="16" t="s">
        <v>341</v>
      </c>
      <c r="D200" s="16" t="s">
        <v>501</v>
      </c>
      <c r="E200" s="16">
        <v>2016</v>
      </c>
      <c r="F200" s="16"/>
      <c r="G200" s="16">
        <v>19</v>
      </c>
      <c r="H200" s="17"/>
      <c r="I200" s="17"/>
      <c r="J200" s="17"/>
      <c r="K200" s="17"/>
      <c r="L200" s="17"/>
      <c r="M200" s="17"/>
    </row>
    <row r="201" spans="1:13" s="1" customFormat="1">
      <c r="A201" s="15"/>
      <c r="B201" s="16" t="s">
        <v>342</v>
      </c>
      <c r="C201" s="16" t="s">
        <v>343</v>
      </c>
      <c r="D201" s="16" t="s">
        <v>501</v>
      </c>
      <c r="E201" s="16">
        <v>2015</v>
      </c>
      <c r="F201" s="16"/>
      <c r="G201" s="16">
        <v>19</v>
      </c>
      <c r="H201" s="17"/>
      <c r="I201" s="17"/>
      <c r="J201" s="17"/>
      <c r="K201" s="17"/>
      <c r="L201" s="17"/>
      <c r="M201" s="17"/>
    </row>
    <row r="202" spans="1:13" s="1" customFormat="1">
      <c r="A202" s="15"/>
      <c r="B202" s="16" t="s">
        <v>344</v>
      </c>
      <c r="C202" s="16" t="s">
        <v>345</v>
      </c>
      <c r="D202" s="16" t="s">
        <v>501</v>
      </c>
      <c r="E202" s="16">
        <v>2014</v>
      </c>
      <c r="F202" s="16"/>
      <c r="G202" s="16">
        <v>19</v>
      </c>
      <c r="H202" s="17"/>
      <c r="I202" s="17"/>
      <c r="J202" s="17"/>
      <c r="K202" s="17"/>
      <c r="L202" s="17"/>
      <c r="M202" s="17"/>
    </row>
    <row r="203" spans="1:13" s="1" customFormat="1">
      <c r="A203" s="15"/>
      <c r="B203" s="16" t="s">
        <v>346</v>
      </c>
      <c r="C203" s="16" t="s">
        <v>347</v>
      </c>
      <c r="D203" s="16" t="s">
        <v>501</v>
      </c>
      <c r="E203" s="16">
        <v>2013</v>
      </c>
      <c r="F203" s="16"/>
      <c r="G203" s="16">
        <v>12</v>
      </c>
      <c r="H203" s="17"/>
      <c r="I203" s="17"/>
      <c r="J203" s="17"/>
      <c r="K203" s="17"/>
      <c r="L203" s="17"/>
      <c r="M203" s="17"/>
    </row>
    <row r="204" spans="1:13" s="1" customFormat="1">
      <c r="A204" s="15"/>
      <c r="B204" s="16" t="s">
        <v>348</v>
      </c>
      <c r="C204" s="16" t="s">
        <v>349</v>
      </c>
      <c r="D204" s="16" t="s">
        <v>501</v>
      </c>
      <c r="E204" s="16">
        <v>2013</v>
      </c>
      <c r="F204" s="16"/>
      <c r="G204" s="16">
        <v>19</v>
      </c>
      <c r="H204" s="17"/>
      <c r="I204" s="17"/>
      <c r="J204" s="17"/>
      <c r="K204" s="17"/>
      <c r="L204" s="17"/>
      <c r="M204" s="17"/>
    </row>
    <row r="205" spans="1:13" s="1" customFormat="1">
      <c r="A205" s="15"/>
      <c r="B205" s="16" t="s">
        <v>482</v>
      </c>
      <c r="C205" s="16" t="s">
        <v>350</v>
      </c>
      <c r="D205" s="16" t="s">
        <v>508</v>
      </c>
      <c r="E205" s="16">
        <v>2013</v>
      </c>
      <c r="F205" s="16"/>
      <c r="G205" s="16">
        <v>26</v>
      </c>
      <c r="H205" s="17"/>
      <c r="I205" s="17"/>
      <c r="J205" s="17"/>
      <c r="K205" s="17"/>
      <c r="L205" s="17"/>
      <c r="M205" s="17"/>
    </row>
    <row r="206" spans="1:13" s="1" customFormat="1">
      <c r="A206" s="15"/>
      <c r="B206" s="16" t="s">
        <v>351</v>
      </c>
      <c r="C206" s="16" t="s">
        <v>352</v>
      </c>
      <c r="D206" s="16" t="s">
        <v>501</v>
      </c>
      <c r="E206" s="16">
        <v>2013</v>
      </c>
      <c r="F206" s="16"/>
      <c r="G206" s="16">
        <v>19</v>
      </c>
      <c r="H206" s="17"/>
      <c r="I206" s="17"/>
      <c r="J206" s="17"/>
      <c r="K206" s="17"/>
      <c r="L206" s="17"/>
      <c r="M206" s="17"/>
    </row>
    <row r="207" spans="1:13" s="1" customFormat="1">
      <c r="A207" s="15" t="s">
        <v>353</v>
      </c>
      <c r="B207" s="16" t="s">
        <v>354</v>
      </c>
      <c r="C207" s="16" t="s">
        <v>355</v>
      </c>
      <c r="D207" s="16" t="s">
        <v>501</v>
      </c>
      <c r="E207" s="16">
        <v>2021</v>
      </c>
      <c r="F207" s="16"/>
      <c r="G207" s="16">
        <v>19</v>
      </c>
      <c r="H207" s="17">
        <v>0.31</v>
      </c>
      <c r="I207" s="17">
        <v>0.28000000000000003</v>
      </c>
      <c r="J207" s="17">
        <v>0.27</v>
      </c>
      <c r="K207" s="17">
        <v>0.29345865546034527</v>
      </c>
      <c r="L207" s="17">
        <v>0.24666210549557113</v>
      </c>
      <c r="M207" s="17">
        <v>0.2331207313118594</v>
      </c>
    </row>
    <row r="208" spans="1:13" s="1" customFormat="1">
      <c r="A208" s="15"/>
      <c r="B208" s="16" t="s">
        <v>356</v>
      </c>
      <c r="C208" s="16" t="s">
        <v>357</v>
      </c>
      <c r="D208" s="16" t="s">
        <v>501</v>
      </c>
      <c r="E208" s="16">
        <v>2022</v>
      </c>
      <c r="F208" s="16"/>
      <c r="G208" s="16">
        <v>12</v>
      </c>
      <c r="H208" s="17"/>
      <c r="I208" s="17"/>
      <c r="J208" s="17"/>
      <c r="K208" s="17"/>
      <c r="L208" s="17"/>
      <c r="M208" s="17"/>
    </row>
    <row r="209" spans="1:13" s="1" customFormat="1">
      <c r="A209" s="15"/>
      <c r="B209" s="16" t="s">
        <v>358</v>
      </c>
      <c r="C209" s="16" t="s">
        <v>359</v>
      </c>
      <c r="D209" s="16" t="s">
        <v>501</v>
      </c>
      <c r="E209" s="16">
        <v>2019</v>
      </c>
      <c r="F209" s="16"/>
      <c r="G209" s="16">
        <v>12</v>
      </c>
      <c r="H209" s="17"/>
      <c r="I209" s="17"/>
      <c r="J209" s="17"/>
      <c r="K209" s="17"/>
      <c r="L209" s="17"/>
      <c r="M209" s="17"/>
    </row>
    <row r="210" spans="1:13" s="1" customFormat="1">
      <c r="A210" s="15"/>
      <c r="B210" s="16" t="s">
        <v>360</v>
      </c>
      <c r="C210" s="16" t="s">
        <v>361</v>
      </c>
      <c r="D210" s="16" t="s">
        <v>501</v>
      </c>
      <c r="E210" s="16">
        <v>2017</v>
      </c>
      <c r="F210" s="16"/>
      <c r="G210" s="16">
        <v>19</v>
      </c>
      <c r="H210" s="17"/>
      <c r="I210" s="17"/>
      <c r="J210" s="17"/>
      <c r="K210" s="17"/>
      <c r="L210" s="17"/>
      <c r="M210" s="17"/>
    </row>
    <row r="211" spans="1:13" s="1" customFormat="1">
      <c r="A211" s="15"/>
      <c r="B211" s="16" t="s">
        <v>362</v>
      </c>
      <c r="C211" s="16" t="s">
        <v>363</v>
      </c>
      <c r="D211" s="16" t="s">
        <v>501</v>
      </c>
      <c r="E211" s="16">
        <v>2016</v>
      </c>
      <c r="F211" s="16"/>
      <c r="G211" s="16">
        <v>19</v>
      </c>
      <c r="H211" s="17"/>
      <c r="I211" s="17"/>
      <c r="J211" s="17"/>
      <c r="K211" s="17"/>
      <c r="L211" s="17"/>
      <c r="M211" s="17"/>
    </row>
    <row r="212" spans="1:13" s="1" customFormat="1">
      <c r="A212" s="15"/>
      <c r="B212" s="16" t="s">
        <v>364</v>
      </c>
      <c r="C212" s="16" t="s">
        <v>365</v>
      </c>
      <c r="D212" s="16" t="s">
        <v>501</v>
      </c>
      <c r="E212" s="16">
        <v>2016</v>
      </c>
      <c r="F212" s="16"/>
      <c r="G212" s="16">
        <v>19</v>
      </c>
      <c r="H212" s="17"/>
      <c r="I212" s="17"/>
      <c r="J212" s="17"/>
      <c r="K212" s="17"/>
      <c r="L212" s="17"/>
      <c r="M212" s="17"/>
    </row>
    <row r="213" spans="1:13" s="1" customFormat="1">
      <c r="A213" s="15"/>
      <c r="B213" s="16" t="s">
        <v>366</v>
      </c>
      <c r="C213" s="16" t="s">
        <v>367</v>
      </c>
      <c r="D213" s="16" t="s">
        <v>486</v>
      </c>
      <c r="E213" s="16">
        <v>2015</v>
      </c>
      <c r="F213" s="16">
        <v>2025</v>
      </c>
      <c r="G213" s="16">
        <v>19</v>
      </c>
      <c r="H213" s="17"/>
      <c r="I213" s="17"/>
      <c r="J213" s="17"/>
      <c r="K213" s="17"/>
      <c r="L213" s="17"/>
      <c r="M213" s="17"/>
    </row>
    <row r="214" spans="1:13" s="1" customFormat="1">
      <c r="A214" s="15"/>
      <c r="B214" s="16" t="s">
        <v>368</v>
      </c>
      <c r="C214" s="16" t="s">
        <v>369</v>
      </c>
      <c r="D214" s="16" t="s">
        <v>501</v>
      </c>
      <c r="E214" s="16">
        <v>2014</v>
      </c>
      <c r="F214" s="16"/>
      <c r="G214" s="16">
        <v>19</v>
      </c>
      <c r="H214" s="17"/>
      <c r="I214" s="17"/>
      <c r="J214" s="17"/>
      <c r="K214" s="17"/>
      <c r="L214" s="17"/>
      <c r="M214" s="17"/>
    </row>
    <row r="215" spans="1:13" s="1" customFormat="1">
      <c r="A215" s="15"/>
      <c r="B215" s="20" t="s">
        <v>576</v>
      </c>
      <c r="C215" s="16" t="s">
        <v>370</v>
      </c>
      <c r="D215" s="16" t="s">
        <v>508</v>
      </c>
      <c r="E215" s="16">
        <v>2014</v>
      </c>
      <c r="F215" s="16"/>
      <c r="G215" s="16">
        <v>19</v>
      </c>
      <c r="H215" s="17"/>
      <c r="I215" s="17"/>
      <c r="J215" s="17"/>
      <c r="K215" s="17"/>
      <c r="L215" s="17"/>
      <c r="M215" s="17"/>
    </row>
    <row r="216" spans="1:13" s="1" customFormat="1">
      <c r="A216" s="15"/>
      <c r="B216" s="20" t="s">
        <v>575</v>
      </c>
      <c r="C216" s="16" t="s">
        <v>371</v>
      </c>
      <c r="D216" s="16" t="s">
        <v>508</v>
      </c>
      <c r="E216" s="16">
        <v>2013</v>
      </c>
      <c r="F216" s="16"/>
      <c r="G216" s="16">
        <v>47</v>
      </c>
      <c r="H216" s="17"/>
      <c r="I216" s="17"/>
      <c r="J216" s="17"/>
      <c r="K216" s="17"/>
      <c r="L216" s="17"/>
      <c r="M216" s="17"/>
    </row>
    <row r="217" spans="1:13" s="1" customFormat="1">
      <c r="A217" s="15"/>
      <c r="B217" s="16" t="s">
        <v>372</v>
      </c>
      <c r="C217" s="16" t="s">
        <v>373</v>
      </c>
      <c r="D217" s="16" t="s">
        <v>501</v>
      </c>
      <c r="E217" s="16">
        <v>2013</v>
      </c>
      <c r="F217" s="16"/>
      <c r="G217" s="16">
        <v>19</v>
      </c>
      <c r="H217" s="17"/>
      <c r="I217" s="17"/>
      <c r="J217" s="17"/>
      <c r="K217" s="17"/>
      <c r="L217" s="17"/>
      <c r="M217" s="17"/>
    </row>
    <row r="218" spans="1:13" s="1" customFormat="1">
      <c r="A218" s="15"/>
      <c r="B218" s="16" t="s">
        <v>374</v>
      </c>
      <c r="C218" s="16" t="s">
        <v>375</v>
      </c>
      <c r="D218" s="16" t="s">
        <v>501</v>
      </c>
      <c r="E218" s="16">
        <v>2013</v>
      </c>
      <c r="F218" s="16"/>
      <c r="G218" s="16">
        <v>33</v>
      </c>
      <c r="H218" s="17"/>
      <c r="I218" s="17"/>
      <c r="J218" s="17"/>
      <c r="K218" s="17"/>
      <c r="L218" s="17"/>
      <c r="M218" s="17"/>
    </row>
    <row r="219" spans="1:13" s="1" customFormat="1">
      <c r="A219" s="15"/>
      <c r="B219" s="16" t="s">
        <v>376</v>
      </c>
      <c r="C219" s="16" t="s">
        <v>377</v>
      </c>
      <c r="D219" s="16" t="s">
        <v>486</v>
      </c>
      <c r="E219" s="16" t="s">
        <v>566</v>
      </c>
      <c r="F219" s="16">
        <v>2026</v>
      </c>
      <c r="G219" s="16">
        <v>12</v>
      </c>
      <c r="H219" s="17"/>
      <c r="I219" s="17"/>
      <c r="J219" s="17"/>
      <c r="K219" s="17"/>
      <c r="L219" s="17"/>
      <c r="M219" s="17"/>
    </row>
    <row r="220" spans="1:13" s="1" customFormat="1">
      <c r="A220" s="15"/>
      <c r="B220" s="20" t="s">
        <v>577</v>
      </c>
      <c r="C220" s="16" t="s">
        <v>378</v>
      </c>
      <c r="D220" s="16" t="s">
        <v>508</v>
      </c>
      <c r="E220" s="16">
        <v>2019</v>
      </c>
      <c r="F220" s="16"/>
      <c r="G220" s="16">
        <v>12</v>
      </c>
      <c r="H220" s="17"/>
      <c r="I220" s="17"/>
      <c r="J220" s="17"/>
      <c r="K220" s="17"/>
      <c r="L220" s="17"/>
      <c r="M220" s="17"/>
    </row>
    <row r="221" spans="1:13" s="1" customFormat="1">
      <c r="A221" s="15" t="s">
        <v>379</v>
      </c>
      <c r="B221" s="16" t="s">
        <v>583</v>
      </c>
      <c r="C221" s="16" t="s">
        <v>381</v>
      </c>
      <c r="D221" s="16" t="s">
        <v>501</v>
      </c>
      <c r="E221" s="16">
        <v>2023</v>
      </c>
      <c r="F221" s="16"/>
      <c r="G221" s="16">
        <v>12</v>
      </c>
      <c r="H221" s="17">
        <v>0.36</v>
      </c>
      <c r="I221" s="17">
        <v>0.34</v>
      </c>
      <c r="J221" s="17">
        <v>0.28999999999999998</v>
      </c>
      <c r="K221" s="17">
        <v>0.29956573173527196</v>
      </c>
      <c r="L221" s="17">
        <v>0.29025733721760583</v>
      </c>
      <c r="M221" s="17">
        <v>0.28249276933866435</v>
      </c>
    </row>
    <row r="222" spans="1:13" s="1" customFormat="1">
      <c r="A222" s="15"/>
      <c r="B222" s="16" t="s">
        <v>593</v>
      </c>
      <c r="C222" s="16" t="s">
        <v>563</v>
      </c>
      <c r="D222" s="16" t="s">
        <v>508</v>
      </c>
      <c r="E222" s="16">
        <v>2022</v>
      </c>
      <c r="F222" s="16"/>
      <c r="G222" s="16">
        <v>12</v>
      </c>
      <c r="H222" s="17"/>
      <c r="I222" s="17"/>
      <c r="J222" s="17"/>
      <c r="K222" s="17"/>
      <c r="L222" s="17"/>
      <c r="M222" s="17"/>
    </row>
    <row r="223" spans="1:13" s="1" customFormat="1">
      <c r="A223" s="15"/>
      <c r="B223" s="16" t="s">
        <v>382</v>
      </c>
      <c r="C223" s="16" t="s">
        <v>383</v>
      </c>
      <c r="D223" s="16" t="s">
        <v>501</v>
      </c>
      <c r="E223" s="16">
        <v>2019</v>
      </c>
      <c r="F223" s="16"/>
      <c r="G223" s="16">
        <v>12</v>
      </c>
      <c r="H223" s="17"/>
      <c r="I223" s="17"/>
      <c r="J223" s="17"/>
      <c r="K223" s="17"/>
      <c r="L223" s="17"/>
      <c r="M223" s="17"/>
    </row>
    <row r="224" spans="1:13" s="1" customFormat="1">
      <c r="A224" s="15"/>
      <c r="B224" s="16" t="s">
        <v>500</v>
      </c>
      <c r="C224" s="16" t="s">
        <v>384</v>
      </c>
      <c r="D224" s="16" t="s">
        <v>487</v>
      </c>
      <c r="E224" s="16">
        <v>2019</v>
      </c>
      <c r="F224" s="16">
        <v>2024</v>
      </c>
      <c r="G224" s="16">
        <v>12</v>
      </c>
      <c r="H224" s="17"/>
      <c r="I224" s="17"/>
      <c r="J224" s="17"/>
      <c r="K224" s="17"/>
      <c r="L224" s="17"/>
      <c r="M224" s="17"/>
    </row>
    <row r="225" spans="1:13" s="1" customFormat="1">
      <c r="A225" s="15"/>
      <c r="B225" s="16" t="s">
        <v>385</v>
      </c>
      <c r="C225" s="16" t="s">
        <v>386</v>
      </c>
      <c r="D225" s="16" t="s">
        <v>501</v>
      </c>
      <c r="E225" s="16">
        <v>2017</v>
      </c>
      <c r="F225" s="16"/>
      <c r="G225" s="16">
        <v>19</v>
      </c>
      <c r="H225" s="17"/>
      <c r="I225" s="17"/>
      <c r="J225" s="17"/>
      <c r="K225" s="17"/>
      <c r="L225" s="17"/>
      <c r="M225" s="17"/>
    </row>
    <row r="226" spans="1:13" s="1" customFormat="1">
      <c r="A226" s="15"/>
      <c r="B226" s="16" t="s">
        <v>387</v>
      </c>
      <c r="C226" s="16" t="s">
        <v>388</v>
      </c>
      <c r="D226" s="16" t="s">
        <v>501</v>
      </c>
      <c r="E226" s="16">
        <v>2016</v>
      </c>
      <c r="F226" s="16"/>
      <c r="G226" s="16">
        <v>26</v>
      </c>
      <c r="H226" s="17"/>
      <c r="I226" s="17"/>
      <c r="J226" s="17"/>
      <c r="K226" s="17"/>
      <c r="L226" s="17"/>
      <c r="M226" s="17"/>
    </row>
    <row r="227" spans="1:13" s="1" customFormat="1">
      <c r="A227" s="15"/>
      <c r="B227" s="16" t="s">
        <v>389</v>
      </c>
      <c r="C227" s="16" t="s">
        <v>390</v>
      </c>
      <c r="D227" s="16" t="s">
        <v>501</v>
      </c>
      <c r="E227" s="16">
        <v>2016</v>
      </c>
      <c r="F227" s="16"/>
      <c r="G227" s="16">
        <v>19</v>
      </c>
      <c r="H227" s="17"/>
      <c r="I227" s="17"/>
      <c r="J227" s="17"/>
      <c r="K227" s="17"/>
      <c r="L227" s="17"/>
      <c r="M227" s="17"/>
    </row>
    <row r="228" spans="1:13" s="1" customFormat="1">
      <c r="A228" s="15"/>
      <c r="B228" s="16" t="s">
        <v>391</v>
      </c>
      <c r="C228" s="16" t="s">
        <v>392</v>
      </c>
      <c r="D228" s="16" t="s">
        <v>501</v>
      </c>
      <c r="E228" s="16">
        <v>2014</v>
      </c>
      <c r="F228" s="16"/>
      <c r="G228" s="16">
        <v>19</v>
      </c>
      <c r="H228" s="17"/>
      <c r="I228" s="17"/>
      <c r="J228" s="17"/>
      <c r="K228" s="17"/>
      <c r="L228" s="17"/>
      <c r="M228" s="17"/>
    </row>
    <row r="229" spans="1:13" s="1" customFormat="1">
      <c r="A229" s="15"/>
      <c r="B229" s="16" t="s">
        <v>393</v>
      </c>
      <c r="C229" s="16" t="s">
        <v>394</v>
      </c>
      <c r="D229" s="16" t="s">
        <v>501</v>
      </c>
      <c r="E229" s="16">
        <v>2014</v>
      </c>
      <c r="F229" s="16"/>
      <c r="G229" s="16">
        <v>19</v>
      </c>
      <c r="H229" s="17"/>
      <c r="I229" s="17"/>
      <c r="J229" s="17"/>
      <c r="K229" s="17"/>
      <c r="L229" s="17"/>
      <c r="M229" s="17"/>
    </row>
    <row r="230" spans="1:13" s="1" customFormat="1">
      <c r="A230" s="15"/>
      <c r="B230" s="16" t="s">
        <v>395</v>
      </c>
      <c r="C230" s="16" t="s">
        <v>396</v>
      </c>
      <c r="D230" s="16" t="s">
        <v>501</v>
      </c>
      <c r="E230" s="16">
        <v>2013</v>
      </c>
      <c r="F230" s="16"/>
      <c r="G230" s="16">
        <v>19</v>
      </c>
      <c r="H230" s="17"/>
      <c r="I230" s="17"/>
      <c r="J230" s="17"/>
      <c r="K230" s="17"/>
      <c r="L230" s="17"/>
      <c r="M230" s="17"/>
    </row>
    <row r="231" spans="1:13" s="1" customFormat="1">
      <c r="A231" s="15"/>
      <c r="B231" s="16" t="s">
        <v>397</v>
      </c>
      <c r="C231" s="16" t="s">
        <v>398</v>
      </c>
      <c r="D231" s="16" t="s">
        <v>501</v>
      </c>
      <c r="E231" s="16">
        <v>2013</v>
      </c>
      <c r="F231" s="16"/>
      <c r="G231" s="16">
        <v>26</v>
      </c>
      <c r="H231" s="17"/>
      <c r="I231" s="17"/>
      <c r="J231" s="17"/>
      <c r="K231" s="17"/>
      <c r="L231" s="17"/>
      <c r="M231" s="17"/>
    </row>
    <row r="232" spans="1:13" s="1" customFormat="1">
      <c r="A232" s="15"/>
      <c r="B232" s="16" t="s">
        <v>399</v>
      </c>
      <c r="C232" s="16" t="s">
        <v>400</v>
      </c>
      <c r="D232" s="16" t="s">
        <v>501</v>
      </c>
      <c r="E232" s="16">
        <v>2013</v>
      </c>
      <c r="F232" s="16"/>
      <c r="G232" s="16">
        <v>26</v>
      </c>
      <c r="H232" s="17"/>
      <c r="I232" s="17"/>
      <c r="J232" s="17"/>
      <c r="K232" s="17"/>
      <c r="L232" s="17"/>
      <c r="M232" s="17"/>
    </row>
    <row r="233" spans="1:13" s="1" customFormat="1">
      <c r="A233" s="15"/>
      <c r="B233" s="16" t="s">
        <v>541</v>
      </c>
      <c r="C233" s="16" t="s">
        <v>568</v>
      </c>
      <c r="D233" s="16" t="s">
        <v>487</v>
      </c>
      <c r="E233" s="16" t="s">
        <v>566</v>
      </c>
      <c r="F233" s="16">
        <v>2023</v>
      </c>
      <c r="G233" s="16"/>
      <c r="H233" s="17"/>
      <c r="I233" s="17"/>
      <c r="J233" s="17"/>
      <c r="K233" s="17"/>
      <c r="L233" s="17"/>
      <c r="M233" s="17"/>
    </row>
    <row r="234" spans="1:13" s="1" customFormat="1">
      <c r="A234" s="15"/>
      <c r="B234" s="16" t="s">
        <v>401</v>
      </c>
      <c r="C234" s="16" t="s">
        <v>402</v>
      </c>
      <c r="D234" s="16" t="s">
        <v>501</v>
      </c>
      <c r="E234" s="16">
        <v>2018</v>
      </c>
      <c r="F234" s="16"/>
      <c r="G234" s="16">
        <v>19</v>
      </c>
      <c r="H234" s="17"/>
      <c r="I234" s="17"/>
      <c r="J234" s="17"/>
      <c r="K234" s="17"/>
      <c r="L234" s="17"/>
      <c r="M234" s="17"/>
    </row>
    <row r="235" spans="1:13" s="1" customFormat="1">
      <c r="A235" s="15"/>
      <c r="B235" s="16" t="s">
        <v>522</v>
      </c>
      <c r="C235" s="16" t="s">
        <v>523</v>
      </c>
      <c r="D235" s="16" t="s">
        <v>508</v>
      </c>
      <c r="E235" s="16">
        <v>2024</v>
      </c>
      <c r="F235" s="16"/>
      <c r="G235" s="16"/>
      <c r="H235" s="17"/>
      <c r="I235" s="17"/>
      <c r="J235" s="17"/>
      <c r="K235" s="17"/>
      <c r="L235" s="17"/>
      <c r="M235" s="17"/>
    </row>
    <row r="236" spans="1:13" s="1" customFormat="1">
      <c r="A236" s="15"/>
      <c r="B236" s="16" t="s">
        <v>521</v>
      </c>
      <c r="C236" s="16" t="s">
        <v>403</v>
      </c>
      <c r="D236" s="16" t="s">
        <v>508</v>
      </c>
      <c r="E236" s="16">
        <v>2018</v>
      </c>
      <c r="F236" s="16"/>
      <c r="G236" s="16">
        <v>12</v>
      </c>
      <c r="H236" s="17"/>
      <c r="I236" s="17"/>
      <c r="J236" s="17"/>
      <c r="K236" s="17"/>
      <c r="L236" s="17"/>
      <c r="M236" s="17"/>
    </row>
    <row r="237" spans="1:13" s="1" customFormat="1">
      <c r="A237" s="15"/>
      <c r="B237" s="21" t="s">
        <v>578</v>
      </c>
      <c r="C237" s="16" t="s">
        <v>404</v>
      </c>
      <c r="D237" s="16" t="s">
        <v>487</v>
      </c>
      <c r="E237" s="16">
        <v>2019</v>
      </c>
      <c r="F237" s="16">
        <v>2024</v>
      </c>
      <c r="G237" s="16">
        <v>12</v>
      </c>
      <c r="H237" s="17"/>
      <c r="I237" s="17"/>
      <c r="J237" s="17"/>
      <c r="K237" s="17"/>
      <c r="L237" s="17"/>
      <c r="M237" s="17"/>
    </row>
    <row r="238" spans="1:13" s="1" customFormat="1">
      <c r="A238" s="15" t="s">
        <v>405</v>
      </c>
      <c r="B238" s="16" t="s">
        <v>406</v>
      </c>
      <c r="C238" s="16" t="s">
        <v>407</v>
      </c>
      <c r="D238" s="16" t="s">
        <v>501</v>
      </c>
      <c r="E238" s="16">
        <v>2020</v>
      </c>
      <c r="F238" s="16"/>
      <c r="G238" s="16">
        <v>12</v>
      </c>
      <c r="H238" s="17">
        <v>0.34</v>
      </c>
      <c r="I238" s="17">
        <v>0.32</v>
      </c>
      <c r="J238" s="17">
        <v>0.34</v>
      </c>
      <c r="K238" s="17">
        <v>0.34408694304045861</v>
      </c>
      <c r="L238" s="17">
        <v>0.32843995549549759</v>
      </c>
      <c r="M238" s="17">
        <v>0.3272196668707098</v>
      </c>
    </row>
    <row r="239" spans="1:13" s="1" customFormat="1">
      <c r="A239" s="15"/>
      <c r="B239" s="16" t="s">
        <v>408</v>
      </c>
      <c r="C239" s="16" t="s">
        <v>409</v>
      </c>
      <c r="D239" s="16" t="s">
        <v>501</v>
      </c>
      <c r="E239" s="16">
        <v>2015</v>
      </c>
      <c r="F239" s="16"/>
      <c r="G239" s="16">
        <v>19</v>
      </c>
      <c r="H239" s="17"/>
      <c r="I239" s="17"/>
      <c r="J239" s="17"/>
      <c r="K239" s="17"/>
      <c r="L239" s="17"/>
      <c r="M239" s="17"/>
    </row>
    <row r="240" spans="1:13" s="1" customFormat="1">
      <c r="A240" s="15"/>
      <c r="B240" s="16" t="s">
        <v>410</v>
      </c>
      <c r="C240" s="16" t="s">
        <v>411</v>
      </c>
      <c r="D240" s="16" t="s">
        <v>501</v>
      </c>
      <c r="E240" s="16" t="s">
        <v>566</v>
      </c>
      <c r="F240" s="16"/>
      <c r="G240" s="16">
        <v>19</v>
      </c>
      <c r="H240" s="17"/>
      <c r="I240" s="17"/>
      <c r="J240" s="17"/>
      <c r="K240" s="17"/>
      <c r="L240" s="17"/>
      <c r="M240" s="17"/>
    </row>
    <row r="241" spans="1:13" s="1" customFormat="1">
      <c r="A241" s="15"/>
      <c r="B241" s="16" t="s">
        <v>412</v>
      </c>
      <c r="C241" s="16" t="s">
        <v>413</v>
      </c>
      <c r="D241" s="16" t="s">
        <v>501</v>
      </c>
      <c r="E241" s="16">
        <v>2014</v>
      </c>
      <c r="F241" s="16"/>
      <c r="G241" s="16">
        <v>19</v>
      </c>
      <c r="H241" s="17"/>
      <c r="I241" s="17"/>
      <c r="J241" s="17"/>
      <c r="K241" s="17"/>
      <c r="L241" s="17"/>
      <c r="M241" s="17"/>
    </row>
    <row r="242" spans="1:13" s="1" customFormat="1">
      <c r="A242" s="15"/>
      <c r="B242" s="16" t="s">
        <v>414</v>
      </c>
      <c r="C242" s="16" t="s">
        <v>415</v>
      </c>
      <c r="D242" s="16" t="s">
        <v>501</v>
      </c>
      <c r="E242" s="16">
        <v>2014</v>
      </c>
      <c r="F242" s="16"/>
      <c r="G242" s="16">
        <v>19</v>
      </c>
      <c r="H242" s="17"/>
      <c r="I242" s="17"/>
      <c r="J242" s="17"/>
      <c r="K242" s="17"/>
      <c r="L242" s="17"/>
      <c r="M242" s="17"/>
    </row>
    <row r="243" spans="1:13" s="1" customFormat="1">
      <c r="A243" s="15"/>
      <c r="B243" s="16" t="s">
        <v>542</v>
      </c>
      <c r="C243" s="16" t="s">
        <v>567</v>
      </c>
      <c r="D243" s="16" t="s">
        <v>487</v>
      </c>
      <c r="E243" s="16" t="s">
        <v>566</v>
      </c>
      <c r="F243" s="16">
        <v>2023</v>
      </c>
      <c r="G243" s="16"/>
      <c r="H243" s="17"/>
      <c r="I243" s="17"/>
      <c r="J243" s="17"/>
      <c r="K243" s="17"/>
      <c r="L243" s="17"/>
      <c r="M243" s="17"/>
    </row>
    <row r="244" spans="1:13" s="1" customFormat="1">
      <c r="A244" s="15"/>
      <c r="B244" s="20" t="s">
        <v>594</v>
      </c>
      <c r="C244" s="16" t="s">
        <v>569</v>
      </c>
      <c r="D244" s="16" t="s">
        <v>508</v>
      </c>
      <c r="E244" s="16"/>
      <c r="F244" s="16"/>
      <c r="G244" s="16"/>
      <c r="H244" s="17"/>
      <c r="I244" s="17"/>
      <c r="J244" s="17"/>
      <c r="K244" s="17"/>
      <c r="L244" s="17"/>
      <c r="M244" s="17"/>
    </row>
    <row r="245" spans="1:13" s="1" customFormat="1">
      <c r="A245" s="15"/>
      <c r="B245" s="16" t="s">
        <v>416</v>
      </c>
      <c r="C245" s="16" t="s">
        <v>417</v>
      </c>
      <c r="D245" s="16" t="s">
        <v>501</v>
      </c>
      <c r="E245" s="16">
        <v>2013</v>
      </c>
      <c r="F245" s="16"/>
      <c r="G245" s="16">
        <v>12</v>
      </c>
      <c r="H245" s="17"/>
      <c r="I245" s="17"/>
      <c r="J245" s="17"/>
      <c r="K245" s="17"/>
      <c r="L245" s="17"/>
      <c r="M245" s="17"/>
    </row>
    <row r="246" spans="1:13" s="1" customFormat="1">
      <c r="A246" s="15" t="s">
        <v>418</v>
      </c>
      <c r="B246" s="16" t="s">
        <v>419</v>
      </c>
      <c r="C246" s="16" t="s">
        <v>420</v>
      </c>
      <c r="D246" s="16" t="s">
        <v>501</v>
      </c>
      <c r="E246" s="16">
        <v>2019</v>
      </c>
      <c r="F246" s="16"/>
      <c r="G246" s="16">
        <v>12</v>
      </c>
      <c r="H246" s="17">
        <v>0.4</v>
      </c>
      <c r="I246" s="17">
        <v>0.42</v>
      </c>
      <c r="J246" s="17">
        <v>0.38</v>
      </c>
      <c r="K246" s="17">
        <v>0.37621225733719815</v>
      </c>
      <c r="L246" s="17">
        <v>0.41840720524693992</v>
      </c>
      <c r="M246" s="17">
        <v>0.39551012948907999</v>
      </c>
    </row>
    <row r="247" spans="1:13" s="1" customFormat="1">
      <c r="A247" s="15"/>
      <c r="B247" s="16" t="s">
        <v>421</v>
      </c>
      <c r="C247" s="16" t="s">
        <v>422</v>
      </c>
      <c r="D247" s="16" t="s">
        <v>501</v>
      </c>
      <c r="E247" s="16">
        <v>2017</v>
      </c>
      <c r="F247" s="16"/>
      <c r="G247" s="16">
        <v>19</v>
      </c>
      <c r="H247" s="17"/>
      <c r="I247" s="17"/>
      <c r="J247" s="17"/>
      <c r="K247" s="17"/>
      <c r="L247" s="17"/>
      <c r="M247" s="17"/>
    </row>
    <row r="248" spans="1:13" s="1" customFormat="1">
      <c r="A248" s="15"/>
      <c r="B248" s="16" t="s">
        <v>423</v>
      </c>
      <c r="C248" s="16" t="s">
        <v>424</v>
      </c>
      <c r="D248" s="16" t="s">
        <v>501</v>
      </c>
      <c r="E248" s="16">
        <v>2017</v>
      </c>
      <c r="F248" s="16"/>
      <c r="G248" s="16">
        <v>19</v>
      </c>
      <c r="H248" s="17"/>
      <c r="I248" s="17"/>
      <c r="J248" s="17"/>
      <c r="K248" s="17"/>
      <c r="L248" s="17"/>
      <c r="M248" s="17"/>
    </row>
    <row r="249" spans="1:13" s="1" customFormat="1">
      <c r="A249" s="15"/>
      <c r="B249" s="16" t="s">
        <v>425</v>
      </c>
      <c r="C249" s="16" t="s">
        <v>426</v>
      </c>
      <c r="D249" s="16" t="s">
        <v>501</v>
      </c>
      <c r="E249" s="16">
        <v>2015</v>
      </c>
      <c r="F249" s="16"/>
      <c r="G249" s="16">
        <v>19</v>
      </c>
      <c r="H249" s="17"/>
      <c r="I249" s="17"/>
      <c r="J249" s="17"/>
      <c r="K249" s="17"/>
      <c r="L249" s="17"/>
      <c r="M249" s="17"/>
    </row>
    <row r="250" spans="1:13" s="1" customFormat="1">
      <c r="A250" s="15"/>
      <c r="B250" s="16" t="s">
        <v>427</v>
      </c>
      <c r="C250" s="16" t="s">
        <v>428</v>
      </c>
      <c r="D250" s="16" t="s">
        <v>501</v>
      </c>
      <c r="E250" s="16">
        <v>2014</v>
      </c>
      <c r="F250" s="16"/>
      <c r="G250" s="16">
        <v>47</v>
      </c>
      <c r="H250" s="17"/>
      <c r="I250" s="17"/>
      <c r="J250" s="17"/>
      <c r="K250" s="17"/>
      <c r="L250" s="17"/>
      <c r="M250" s="17"/>
    </row>
    <row r="251" spans="1:13" s="1" customFormat="1">
      <c r="A251" s="15"/>
      <c r="B251" s="16" t="s">
        <v>429</v>
      </c>
      <c r="C251" s="16" t="s">
        <v>430</v>
      </c>
      <c r="D251" s="16" t="s">
        <v>501</v>
      </c>
      <c r="E251" s="16">
        <v>2013</v>
      </c>
      <c r="F251" s="16"/>
      <c r="G251" s="16">
        <v>26</v>
      </c>
      <c r="H251" s="17"/>
      <c r="I251" s="17"/>
      <c r="J251" s="17"/>
      <c r="K251" s="17"/>
      <c r="L251" s="17"/>
      <c r="M251" s="17"/>
    </row>
    <row r="252" spans="1:13" s="1" customFormat="1">
      <c r="A252" s="15"/>
      <c r="B252" s="16" t="s">
        <v>431</v>
      </c>
      <c r="C252" s="16" t="s">
        <v>432</v>
      </c>
      <c r="D252" s="16" t="s">
        <v>487</v>
      </c>
      <c r="E252" s="16">
        <v>2018</v>
      </c>
      <c r="F252" s="16">
        <v>2023</v>
      </c>
      <c r="G252" s="16">
        <v>19</v>
      </c>
      <c r="H252" s="17"/>
      <c r="I252" s="17"/>
      <c r="J252" s="17"/>
      <c r="K252" s="17"/>
      <c r="L252" s="17"/>
      <c r="M252" s="17"/>
    </row>
    <row r="253" spans="1:13" s="1" customFormat="1">
      <c r="A253" s="15"/>
      <c r="B253" s="16" t="s">
        <v>433</v>
      </c>
      <c r="C253" s="16" t="s">
        <v>434</v>
      </c>
      <c r="D253" s="16" t="s">
        <v>501</v>
      </c>
      <c r="E253" s="16">
        <v>2020</v>
      </c>
      <c r="F253" s="16"/>
      <c r="G253" s="16">
        <v>19</v>
      </c>
      <c r="H253" s="17"/>
      <c r="I253" s="17"/>
      <c r="J253" s="17"/>
      <c r="K253" s="17"/>
      <c r="L253" s="17"/>
      <c r="M253" s="17"/>
    </row>
    <row r="254" spans="1:13" s="1" customFormat="1">
      <c r="A254" s="15"/>
      <c r="B254" s="16" t="s">
        <v>601</v>
      </c>
      <c r="C254" s="16" t="s">
        <v>564</v>
      </c>
      <c r="D254" s="16" t="s">
        <v>486</v>
      </c>
      <c r="E254" s="16">
        <v>2019</v>
      </c>
      <c r="F254" s="16">
        <v>2025</v>
      </c>
      <c r="G254" s="16">
        <v>12</v>
      </c>
      <c r="H254" s="17"/>
      <c r="I254" s="17"/>
      <c r="J254" s="17"/>
      <c r="K254" s="17"/>
      <c r="L254" s="17"/>
      <c r="M254" s="17"/>
    </row>
    <row r="255" spans="1:13" s="1" customFormat="1">
      <c r="A255" s="15" t="s">
        <v>435</v>
      </c>
      <c r="B255" s="16" t="s">
        <v>524</v>
      </c>
      <c r="C255" s="16" t="s">
        <v>436</v>
      </c>
      <c r="D255" s="16" t="s">
        <v>508</v>
      </c>
      <c r="E255" s="16" t="s">
        <v>566</v>
      </c>
      <c r="F255" s="16"/>
      <c r="G255" s="16">
        <v>12</v>
      </c>
      <c r="H255" s="17">
        <v>0.35</v>
      </c>
      <c r="I255" s="17">
        <v>0.32</v>
      </c>
      <c r="J255" s="17">
        <v>0.37</v>
      </c>
      <c r="K255" s="17">
        <v>0.42434995343134241</v>
      </c>
      <c r="L255" s="17">
        <v>0.38846796962005709</v>
      </c>
      <c r="M255" s="17">
        <v>0.38523996891462936</v>
      </c>
    </row>
    <row r="256" spans="1:13" s="1" customFormat="1">
      <c r="A256" s="15"/>
      <c r="B256" s="16" t="s">
        <v>437</v>
      </c>
      <c r="C256" s="16" t="s">
        <v>438</v>
      </c>
      <c r="D256" s="16" t="s">
        <v>501</v>
      </c>
      <c r="E256" s="16">
        <v>2021</v>
      </c>
      <c r="F256" s="16"/>
      <c r="G256" s="16">
        <v>12</v>
      </c>
      <c r="H256" s="17"/>
      <c r="I256" s="17"/>
      <c r="J256" s="17"/>
      <c r="K256" s="17"/>
      <c r="L256" s="17"/>
      <c r="M256" s="17"/>
    </row>
    <row r="257" spans="1:13" s="1" customFormat="1">
      <c r="A257" s="15"/>
      <c r="B257" s="16" t="s">
        <v>439</v>
      </c>
      <c r="C257" s="16" t="s">
        <v>440</v>
      </c>
      <c r="D257" s="16" t="s">
        <v>486</v>
      </c>
      <c r="E257" s="16">
        <v>2017</v>
      </c>
      <c r="F257" s="16">
        <v>2025</v>
      </c>
      <c r="G257" s="16">
        <v>19</v>
      </c>
      <c r="H257" s="17"/>
      <c r="I257" s="17"/>
      <c r="J257" s="17"/>
      <c r="K257" s="17"/>
      <c r="L257" s="17"/>
      <c r="M257" s="17"/>
    </row>
    <row r="258" spans="1:13" s="1" customFormat="1">
      <c r="A258" s="15"/>
      <c r="B258" s="16" t="s">
        <v>441</v>
      </c>
      <c r="C258" s="16" t="s">
        <v>442</v>
      </c>
      <c r="D258" s="16" t="s">
        <v>501</v>
      </c>
      <c r="E258" s="16">
        <v>2016</v>
      </c>
      <c r="F258" s="16"/>
      <c r="G258" s="16">
        <v>19</v>
      </c>
      <c r="H258" s="17"/>
      <c r="I258" s="17"/>
      <c r="J258" s="17"/>
      <c r="K258" s="17"/>
      <c r="L258" s="17"/>
      <c r="M258" s="17"/>
    </row>
    <row r="259" spans="1:13" s="1" customFormat="1">
      <c r="A259" s="15"/>
      <c r="B259" s="16" t="s">
        <v>443</v>
      </c>
      <c r="C259" s="16" t="s">
        <v>444</v>
      </c>
      <c r="D259" s="16" t="s">
        <v>501</v>
      </c>
      <c r="E259" s="16">
        <v>2021</v>
      </c>
      <c r="F259" s="16"/>
      <c r="G259" s="16">
        <v>19</v>
      </c>
      <c r="H259" s="17"/>
      <c r="I259" s="17"/>
      <c r="J259" s="17"/>
      <c r="K259" s="17"/>
      <c r="L259" s="17"/>
      <c r="M259" s="17"/>
    </row>
    <row r="260" spans="1:13" s="1" customFormat="1">
      <c r="A260" s="15"/>
      <c r="B260" s="16" t="s">
        <v>445</v>
      </c>
      <c r="C260" s="16" t="s">
        <v>446</v>
      </c>
      <c r="D260" s="16" t="s">
        <v>501</v>
      </c>
      <c r="E260" s="16">
        <v>2015</v>
      </c>
      <c r="F260" s="16"/>
      <c r="G260" s="16">
        <v>19</v>
      </c>
      <c r="H260" s="17"/>
      <c r="I260" s="17"/>
      <c r="J260" s="17"/>
      <c r="K260" s="17"/>
      <c r="L260" s="17"/>
      <c r="M260" s="17"/>
    </row>
    <row r="261" spans="1:13" s="1" customFormat="1">
      <c r="A261" s="15"/>
      <c r="B261" s="16" t="s">
        <v>447</v>
      </c>
      <c r="C261" s="16" t="s">
        <v>448</v>
      </c>
      <c r="D261" s="16" t="s">
        <v>501</v>
      </c>
      <c r="E261" s="16">
        <v>2014</v>
      </c>
      <c r="F261" s="16"/>
      <c r="G261" s="16">
        <v>19</v>
      </c>
      <c r="H261" s="17"/>
      <c r="I261" s="17"/>
      <c r="J261" s="17"/>
      <c r="K261" s="17"/>
      <c r="L261" s="17"/>
      <c r="M261" s="17"/>
    </row>
    <row r="262" spans="1:13" s="1" customFormat="1">
      <c r="A262" s="15"/>
      <c r="B262" s="16" t="s">
        <v>449</v>
      </c>
      <c r="C262" s="16" t="s">
        <v>450</v>
      </c>
      <c r="D262" s="16" t="s">
        <v>501</v>
      </c>
      <c r="E262" s="16">
        <v>2014</v>
      </c>
      <c r="F262" s="16"/>
      <c r="G262" s="16">
        <v>19</v>
      </c>
      <c r="H262" s="17"/>
      <c r="I262" s="17"/>
      <c r="J262" s="17"/>
      <c r="K262" s="17"/>
      <c r="L262" s="17"/>
      <c r="M262" s="17"/>
    </row>
    <row r="263" spans="1:13" s="1" customFormat="1">
      <c r="A263" s="15"/>
      <c r="B263" s="16" t="s">
        <v>451</v>
      </c>
      <c r="C263" s="16" t="s">
        <v>452</v>
      </c>
      <c r="D263" s="16" t="s">
        <v>501</v>
      </c>
      <c r="E263" s="16">
        <v>2013</v>
      </c>
      <c r="F263" s="16"/>
      <c r="G263" s="16">
        <v>33</v>
      </c>
      <c r="H263" s="17"/>
      <c r="I263" s="17"/>
      <c r="J263" s="17"/>
      <c r="K263" s="17"/>
      <c r="L263" s="17"/>
      <c r="M263" s="17"/>
    </row>
    <row r="264" spans="1:13" s="1" customFormat="1">
      <c r="A264" s="15"/>
      <c r="B264" s="16" t="s">
        <v>453</v>
      </c>
      <c r="C264" s="16" t="s">
        <v>454</v>
      </c>
      <c r="D264" s="16" t="s">
        <v>501</v>
      </c>
      <c r="E264" s="16">
        <v>2013</v>
      </c>
      <c r="F264" s="16"/>
      <c r="G264" s="16">
        <v>19</v>
      </c>
      <c r="H264" s="17"/>
      <c r="I264" s="17"/>
      <c r="J264" s="17"/>
      <c r="K264" s="17"/>
      <c r="L264" s="17"/>
      <c r="M264" s="17"/>
    </row>
    <row r="265" spans="1:13" s="1" customFormat="1">
      <c r="A265" s="15"/>
      <c r="B265" s="16" t="s">
        <v>455</v>
      </c>
      <c r="C265" s="16" t="s">
        <v>456</v>
      </c>
      <c r="D265" s="16" t="s">
        <v>501</v>
      </c>
      <c r="E265" s="16">
        <v>2018</v>
      </c>
      <c r="F265" s="16"/>
      <c r="G265" s="16">
        <v>19</v>
      </c>
      <c r="H265" s="17"/>
      <c r="I265" s="17"/>
      <c r="J265" s="17"/>
      <c r="K265" s="17"/>
      <c r="L265" s="17"/>
      <c r="M265" s="17"/>
    </row>
    <row r="266" spans="1:13" s="1" customFormat="1">
      <c r="A266" s="15" t="s">
        <v>457</v>
      </c>
      <c r="B266" s="22" t="s">
        <v>570</v>
      </c>
      <c r="C266" s="16" t="s">
        <v>458</v>
      </c>
      <c r="D266" s="16" t="s">
        <v>508</v>
      </c>
      <c r="E266" s="16" t="s">
        <v>566</v>
      </c>
      <c r="F266" s="16"/>
      <c r="G266" s="16">
        <v>12</v>
      </c>
      <c r="H266" s="17">
        <v>0.41</v>
      </c>
      <c r="I266" s="17">
        <v>0.4</v>
      </c>
      <c r="J266" s="17">
        <v>0.30728749551188711</v>
      </c>
      <c r="K266" s="17">
        <v>0.3619097405878039</v>
      </c>
      <c r="L266" s="17">
        <v>0.31399335964428127</v>
      </c>
      <c r="M266" s="17">
        <v>0.25275421773723983</v>
      </c>
    </row>
    <row r="267" spans="1:13" s="1" customFormat="1">
      <c r="A267" s="15"/>
      <c r="B267" s="22" t="s">
        <v>571</v>
      </c>
      <c r="C267" s="16" t="s">
        <v>459</v>
      </c>
      <c r="D267" s="16" t="s">
        <v>508</v>
      </c>
      <c r="E267" s="16">
        <v>2023</v>
      </c>
      <c r="F267" s="16"/>
      <c r="G267" s="16">
        <v>12</v>
      </c>
      <c r="H267" s="17"/>
      <c r="I267" s="17"/>
      <c r="J267" s="17"/>
      <c r="K267" s="17"/>
      <c r="L267" s="17"/>
      <c r="M267" s="17"/>
    </row>
    <row r="268" spans="1:13" s="1" customFormat="1">
      <c r="A268" s="15"/>
      <c r="B268" s="16" t="s">
        <v>460</v>
      </c>
      <c r="C268" s="16" t="s">
        <v>461</v>
      </c>
      <c r="D268" s="16" t="s">
        <v>501</v>
      </c>
      <c r="E268" s="16">
        <v>2021</v>
      </c>
      <c r="F268" s="16"/>
      <c r="G268" s="16">
        <v>19</v>
      </c>
      <c r="H268" s="17"/>
      <c r="I268" s="17"/>
      <c r="J268" s="17"/>
      <c r="K268" s="17"/>
      <c r="L268" s="17"/>
      <c r="M268" s="17"/>
    </row>
    <row r="269" spans="1:13" s="1" customFormat="1">
      <c r="A269" s="15"/>
      <c r="B269" s="16" t="s">
        <v>488</v>
      </c>
      <c r="C269" s="16" t="s">
        <v>462</v>
      </c>
      <c r="D269" s="16" t="s">
        <v>487</v>
      </c>
      <c r="E269" s="16">
        <v>2016</v>
      </c>
      <c r="F269" s="16">
        <v>2026</v>
      </c>
      <c r="G269" s="16">
        <v>19</v>
      </c>
      <c r="H269" s="17"/>
      <c r="I269" s="17"/>
      <c r="J269" s="17"/>
      <c r="K269" s="17"/>
      <c r="L269" s="17"/>
      <c r="M269" s="17"/>
    </row>
    <row r="270" spans="1:13" s="1" customFormat="1">
      <c r="A270" s="15"/>
      <c r="B270" s="16" t="s">
        <v>525</v>
      </c>
      <c r="C270" s="16" t="s">
        <v>560</v>
      </c>
      <c r="D270" s="16" t="s">
        <v>508</v>
      </c>
      <c r="E270" s="16">
        <v>2026</v>
      </c>
      <c r="F270" s="16"/>
      <c r="G270" s="16">
        <v>19</v>
      </c>
      <c r="H270" s="17"/>
      <c r="I270" s="17"/>
      <c r="J270" s="17"/>
      <c r="K270" s="17"/>
      <c r="L270" s="17"/>
      <c r="M270" s="17"/>
    </row>
    <row r="271" spans="1:13" s="1" customFormat="1">
      <c r="A271" s="15"/>
      <c r="B271" s="16" t="s">
        <v>463</v>
      </c>
      <c r="C271" s="16" t="s">
        <v>464</v>
      </c>
      <c r="D271" s="16" t="s">
        <v>501</v>
      </c>
      <c r="E271" s="16">
        <v>2015</v>
      </c>
      <c r="F271" s="16"/>
      <c r="G271" s="16">
        <v>12</v>
      </c>
      <c r="H271" s="17"/>
      <c r="I271" s="17"/>
      <c r="J271" s="17"/>
      <c r="K271" s="17"/>
      <c r="L271" s="17"/>
      <c r="M271" s="17"/>
    </row>
    <row r="272" spans="1:13" s="1" customFormat="1">
      <c r="A272" s="15"/>
      <c r="B272" s="16" t="s">
        <v>465</v>
      </c>
      <c r="C272" s="16" t="s">
        <v>466</v>
      </c>
      <c r="D272" s="16" t="s">
        <v>501</v>
      </c>
      <c r="E272" s="16">
        <v>2014</v>
      </c>
      <c r="F272" s="16"/>
      <c r="G272" s="16">
        <v>19</v>
      </c>
      <c r="H272" s="17"/>
      <c r="I272" s="17"/>
      <c r="J272" s="17"/>
      <c r="K272" s="17"/>
      <c r="L272" s="17"/>
      <c r="M272" s="17"/>
    </row>
    <row r="273" spans="1:13" s="1" customFormat="1">
      <c r="A273" s="15"/>
      <c r="B273" s="16" t="s">
        <v>467</v>
      </c>
      <c r="C273" s="16" t="s">
        <v>468</v>
      </c>
      <c r="D273" s="16" t="s">
        <v>501</v>
      </c>
      <c r="E273" s="16">
        <v>2014</v>
      </c>
      <c r="F273" s="16"/>
      <c r="G273" s="16">
        <v>19</v>
      </c>
      <c r="H273" s="17"/>
      <c r="I273" s="17"/>
      <c r="J273" s="17"/>
      <c r="K273" s="17"/>
      <c r="L273" s="17"/>
      <c r="M273" s="17"/>
    </row>
    <row r="274" spans="1:13" s="1" customFormat="1">
      <c r="A274" s="15"/>
      <c r="B274" s="16" t="s">
        <v>469</v>
      </c>
      <c r="C274" s="16" t="s">
        <v>470</v>
      </c>
      <c r="D274" s="16" t="s">
        <v>501</v>
      </c>
      <c r="E274" s="16">
        <v>2014</v>
      </c>
      <c r="F274" s="16"/>
      <c r="G274" s="16">
        <v>19</v>
      </c>
      <c r="H274" s="17"/>
      <c r="I274" s="17"/>
      <c r="J274" s="17"/>
      <c r="K274" s="17"/>
      <c r="L274" s="17"/>
      <c r="M274" s="17"/>
    </row>
    <row r="275" spans="1:13" s="1" customFormat="1">
      <c r="A275" s="15"/>
      <c r="B275" s="16" t="s">
        <v>471</v>
      </c>
      <c r="C275" s="16" t="s">
        <v>472</v>
      </c>
      <c r="D275" s="16" t="s">
        <v>508</v>
      </c>
      <c r="E275" s="16">
        <v>2013</v>
      </c>
      <c r="F275" s="16"/>
      <c r="G275" s="16">
        <v>19</v>
      </c>
      <c r="H275" s="17"/>
      <c r="I275" s="17"/>
      <c r="J275" s="17"/>
      <c r="K275" s="17"/>
      <c r="L275" s="17"/>
      <c r="M275" s="17"/>
    </row>
    <row r="276" spans="1:13" s="1" customFormat="1">
      <c r="A276" s="15"/>
      <c r="B276" s="16" t="s">
        <v>473</v>
      </c>
      <c r="C276" s="16" t="s">
        <v>474</v>
      </c>
      <c r="D276" s="16" t="s">
        <v>501</v>
      </c>
      <c r="E276" s="16">
        <v>2021</v>
      </c>
      <c r="F276" s="16"/>
      <c r="G276" s="16">
        <v>12</v>
      </c>
      <c r="H276" s="17"/>
      <c r="I276" s="17"/>
      <c r="J276" s="17"/>
      <c r="K276" s="17"/>
      <c r="L276" s="17"/>
      <c r="M276" s="17"/>
    </row>
    <row r="277" spans="1:13" s="1" customFormat="1">
      <c r="A277" s="15"/>
      <c r="B277" s="16" t="s">
        <v>475</v>
      </c>
      <c r="C277" s="16" t="s">
        <v>476</v>
      </c>
      <c r="D277" s="16" t="s">
        <v>501</v>
      </c>
      <c r="E277" s="16">
        <v>2023</v>
      </c>
      <c r="F277" s="16"/>
      <c r="G277" s="16">
        <v>12</v>
      </c>
      <c r="H277" s="17"/>
      <c r="I277" s="17"/>
      <c r="J277" s="17"/>
      <c r="K277" s="17"/>
      <c r="L277" s="17"/>
      <c r="M277" s="17"/>
    </row>
    <row r="278" spans="1:13" s="1" customFormat="1">
      <c r="A278" s="5"/>
      <c r="B278" s="3"/>
      <c r="C278" s="3"/>
      <c r="D278" s="3"/>
      <c r="E278" s="9"/>
      <c r="F278" s="3"/>
      <c r="G278" s="3"/>
      <c r="H278" s="7"/>
      <c r="I278" s="7"/>
      <c r="J278" s="7"/>
      <c r="K278" s="7"/>
      <c r="L278" s="7"/>
      <c r="M278" s="7"/>
    </row>
    <row r="279" spans="1:13">
      <c r="E279" s="4"/>
    </row>
  </sheetData>
  <mergeCells count="175">
    <mergeCell ref="M266:M277"/>
    <mergeCell ref="H266:H277"/>
    <mergeCell ref="I266:I277"/>
    <mergeCell ref="J266:J277"/>
    <mergeCell ref="K266:K277"/>
    <mergeCell ref="L266:L277"/>
    <mergeCell ref="M246:M254"/>
    <mergeCell ref="H255:H265"/>
    <mergeCell ref="I255:I265"/>
    <mergeCell ref="J255:J265"/>
    <mergeCell ref="K255:K265"/>
    <mergeCell ref="L255:L265"/>
    <mergeCell ref="M255:M265"/>
    <mergeCell ref="H246:H254"/>
    <mergeCell ref="I246:I254"/>
    <mergeCell ref="J246:J254"/>
    <mergeCell ref="K246:K254"/>
    <mergeCell ref="L246:L254"/>
    <mergeCell ref="M221:M237"/>
    <mergeCell ref="H238:H245"/>
    <mergeCell ref="I238:I245"/>
    <mergeCell ref="J238:J245"/>
    <mergeCell ref="K238:K245"/>
    <mergeCell ref="L238:L245"/>
    <mergeCell ref="M238:M245"/>
    <mergeCell ref="H221:H237"/>
    <mergeCell ref="I221:I237"/>
    <mergeCell ref="J221:J237"/>
    <mergeCell ref="K221:K237"/>
    <mergeCell ref="L221:L237"/>
    <mergeCell ref="M195:M206"/>
    <mergeCell ref="H207:H220"/>
    <mergeCell ref="I207:I220"/>
    <mergeCell ref="J207:J220"/>
    <mergeCell ref="K207:K220"/>
    <mergeCell ref="L207:L220"/>
    <mergeCell ref="M207:M220"/>
    <mergeCell ref="H195:H206"/>
    <mergeCell ref="I195:I206"/>
    <mergeCell ref="J195:J206"/>
    <mergeCell ref="K195:K206"/>
    <mergeCell ref="L195:L206"/>
    <mergeCell ref="M173:M184"/>
    <mergeCell ref="H185:H194"/>
    <mergeCell ref="I185:I194"/>
    <mergeCell ref="J185:J194"/>
    <mergeCell ref="K185:K194"/>
    <mergeCell ref="L185:L194"/>
    <mergeCell ref="M185:M194"/>
    <mergeCell ref="H173:H184"/>
    <mergeCell ref="I173:I184"/>
    <mergeCell ref="J173:J184"/>
    <mergeCell ref="K173:K184"/>
    <mergeCell ref="L173:L184"/>
    <mergeCell ref="M147:M158"/>
    <mergeCell ref="H159:H172"/>
    <mergeCell ref="I159:I172"/>
    <mergeCell ref="J159:J172"/>
    <mergeCell ref="K159:K172"/>
    <mergeCell ref="L159:L172"/>
    <mergeCell ref="M159:M172"/>
    <mergeCell ref="H147:H158"/>
    <mergeCell ref="I147:I158"/>
    <mergeCell ref="J147:J158"/>
    <mergeCell ref="K147:K158"/>
    <mergeCell ref="L147:L158"/>
    <mergeCell ref="M119:M131"/>
    <mergeCell ref="H132:H146"/>
    <mergeCell ref="I132:I146"/>
    <mergeCell ref="J132:J146"/>
    <mergeCell ref="K132:K146"/>
    <mergeCell ref="L132:L146"/>
    <mergeCell ref="M132:M146"/>
    <mergeCell ref="H119:H131"/>
    <mergeCell ref="I119:I131"/>
    <mergeCell ref="J119:J131"/>
    <mergeCell ref="K119:K131"/>
    <mergeCell ref="L119:L131"/>
    <mergeCell ref="M98:M106"/>
    <mergeCell ref="H107:H118"/>
    <mergeCell ref="I107:I118"/>
    <mergeCell ref="J107:J118"/>
    <mergeCell ref="K107:K118"/>
    <mergeCell ref="L107:L118"/>
    <mergeCell ref="M107:M118"/>
    <mergeCell ref="H98:H106"/>
    <mergeCell ref="I98:I106"/>
    <mergeCell ref="J98:J106"/>
    <mergeCell ref="K98:K106"/>
    <mergeCell ref="L98:L106"/>
    <mergeCell ref="M78:M86"/>
    <mergeCell ref="H87:H97"/>
    <mergeCell ref="I87:I97"/>
    <mergeCell ref="J87:J97"/>
    <mergeCell ref="K87:K97"/>
    <mergeCell ref="L87:L97"/>
    <mergeCell ref="M87:M97"/>
    <mergeCell ref="H78:H86"/>
    <mergeCell ref="I78:I86"/>
    <mergeCell ref="J78:J86"/>
    <mergeCell ref="K78:K86"/>
    <mergeCell ref="L78:L86"/>
    <mergeCell ref="M62:M67"/>
    <mergeCell ref="H68:H77"/>
    <mergeCell ref="I68:I77"/>
    <mergeCell ref="J68:J77"/>
    <mergeCell ref="K68:K77"/>
    <mergeCell ref="L68:L77"/>
    <mergeCell ref="M68:M77"/>
    <mergeCell ref="H62:H67"/>
    <mergeCell ref="I62:I67"/>
    <mergeCell ref="J62:J67"/>
    <mergeCell ref="K62:K67"/>
    <mergeCell ref="L62:L67"/>
    <mergeCell ref="M35:M49"/>
    <mergeCell ref="H50:H61"/>
    <mergeCell ref="I50:I61"/>
    <mergeCell ref="J50:J61"/>
    <mergeCell ref="K50:K61"/>
    <mergeCell ref="L50:L61"/>
    <mergeCell ref="M50:M61"/>
    <mergeCell ref="H35:H49"/>
    <mergeCell ref="I35:I49"/>
    <mergeCell ref="J35:J49"/>
    <mergeCell ref="K35:K49"/>
    <mergeCell ref="L35:L49"/>
    <mergeCell ref="M16:M24"/>
    <mergeCell ref="H25:H34"/>
    <mergeCell ref="I25:I34"/>
    <mergeCell ref="J25:J34"/>
    <mergeCell ref="K25:K34"/>
    <mergeCell ref="L25:L34"/>
    <mergeCell ref="M25:M34"/>
    <mergeCell ref="H16:H24"/>
    <mergeCell ref="I16:I24"/>
    <mergeCell ref="J16:J24"/>
    <mergeCell ref="K16:K24"/>
    <mergeCell ref="L16:L24"/>
    <mergeCell ref="M2:M6"/>
    <mergeCell ref="H7:H15"/>
    <mergeCell ref="I7:I15"/>
    <mergeCell ref="J7:J15"/>
    <mergeCell ref="K7:K15"/>
    <mergeCell ref="L7:L15"/>
    <mergeCell ref="M7:M15"/>
    <mergeCell ref="H2:H6"/>
    <mergeCell ref="I2:I6"/>
    <mergeCell ref="J2:J6"/>
    <mergeCell ref="K2:K6"/>
    <mergeCell ref="L2:L6"/>
    <mergeCell ref="A238:A245"/>
    <mergeCell ref="A246:A254"/>
    <mergeCell ref="A255:A265"/>
    <mergeCell ref="A266:A277"/>
    <mergeCell ref="A159:A172"/>
    <mergeCell ref="A173:A184"/>
    <mergeCell ref="A185:A194"/>
    <mergeCell ref="A195:A206"/>
    <mergeCell ref="A207:A220"/>
    <mergeCell ref="A221:A237"/>
    <mergeCell ref="A2:A6"/>
    <mergeCell ref="A7:A15"/>
    <mergeCell ref="A16:A24"/>
    <mergeCell ref="A25:A34"/>
    <mergeCell ref="A35:A49"/>
    <mergeCell ref="A132:A146"/>
    <mergeCell ref="A147:A158"/>
    <mergeCell ref="A50:A61"/>
    <mergeCell ref="A62:A67"/>
    <mergeCell ref="A68:A77"/>
    <mergeCell ref="A78:A86"/>
    <mergeCell ref="A87:A97"/>
    <mergeCell ref="A98:A106"/>
    <mergeCell ref="A107:A118"/>
    <mergeCell ref="A119:A1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97F0-2E01-479A-BBE6-DDFA40EE0862}">
  <dimension ref="A1:M279"/>
  <sheetViews>
    <sheetView workbookViewId="0">
      <selection activeCell="B4" sqref="B4"/>
    </sheetView>
  </sheetViews>
  <sheetFormatPr defaultRowHeight="16.5"/>
  <cols>
    <col min="1" max="1" width="10.75" style="6" customWidth="1"/>
    <col min="2" max="2" width="36.375" style="2" customWidth="1"/>
    <col min="3" max="3" width="25.75" style="2" customWidth="1"/>
    <col min="4" max="4" width="10.125" style="2" customWidth="1"/>
    <col min="5" max="5" width="13.875" style="2" customWidth="1"/>
    <col min="6" max="7" width="11.25" style="2" customWidth="1"/>
    <col min="8" max="8" width="18.125" style="8" customWidth="1"/>
    <col min="9" max="9" width="17.75" style="8" customWidth="1"/>
    <col min="10" max="12" width="18" style="8" customWidth="1"/>
    <col min="13" max="13" width="23.125" style="8" customWidth="1"/>
  </cols>
  <sheetData>
    <row r="1" spans="1:13" ht="22.5" customHeight="1">
      <c r="A1" s="23" t="s">
        <v>0</v>
      </c>
      <c r="B1" s="23" t="s">
        <v>604</v>
      </c>
      <c r="C1" s="23" t="s">
        <v>1</v>
      </c>
      <c r="D1" s="23" t="s">
        <v>485</v>
      </c>
      <c r="E1" s="23" t="s">
        <v>483</v>
      </c>
      <c r="F1" s="23" t="s">
        <v>484</v>
      </c>
      <c r="G1" s="23" t="s">
        <v>481</v>
      </c>
      <c r="H1" s="24" t="s">
        <v>602</v>
      </c>
      <c r="I1" s="24" t="s">
        <v>579</v>
      </c>
      <c r="J1" s="24" t="s">
        <v>580</v>
      </c>
      <c r="K1" s="24" t="s">
        <v>581</v>
      </c>
      <c r="L1" s="24" t="s">
        <v>582</v>
      </c>
      <c r="M1" s="24" t="s">
        <v>603</v>
      </c>
    </row>
    <row r="2" spans="1:13">
      <c r="A2" s="25" t="s">
        <v>2</v>
      </c>
      <c r="B2" s="10" t="s">
        <v>3</v>
      </c>
      <c r="C2" s="10" t="s">
        <v>4</v>
      </c>
      <c r="D2" s="10" t="s">
        <v>501</v>
      </c>
      <c r="E2" s="10">
        <v>2017</v>
      </c>
      <c r="F2" s="10"/>
      <c r="G2" s="10">
        <v>19</v>
      </c>
      <c r="H2" s="26">
        <f>VLOOKUP(B2,'[1]현황(21년)'!$D$5:$E$275,2,0)</f>
        <v>2425</v>
      </c>
      <c r="I2" s="26">
        <f>VLOOKUP(B2,'[2]현황(22년)'!$D$5:$E$275,2,0)</f>
        <v>2219</v>
      </c>
      <c r="J2" s="26">
        <f>VLOOKUP(B2,'[3]현황(23년)'!$C$5:$D$264,2,0)</f>
        <v>2036</v>
      </c>
      <c r="K2" s="26">
        <f>VLOOKUP(B2,'[4]현황(24년)'!$C$5:$D$245,2,0)</f>
        <v>1969</v>
      </c>
      <c r="L2" s="26">
        <f>VLOOKUP(B2,'[5]현황(25년)'!$C$5:$D$233,2,0)</f>
        <v>2045</v>
      </c>
      <c r="M2" s="26">
        <f>VLOOKUP(B2,'[6]현황(26년)'!$C$5:$D$228,2,0)</f>
        <v>803</v>
      </c>
    </row>
    <row r="3" spans="1:13" s="1" customFormat="1">
      <c r="A3" s="25"/>
      <c r="B3" s="11" t="s">
        <v>5</v>
      </c>
      <c r="C3" s="11" t="s">
        <v>6</v>
      </c>
      <c r="D3" s="10" t="s">
        <v>501</v>
      </c>
      <c r="E3" s="10">
        <v>2015</v>
      </c>
      <c r="F3" s="11"/>
      <c r="G3" s="11">
        <v>19</v>
      </c>
      <c r="H3" s="26">
        <f>VLOOKUP(B3,'[1]현황(21년)'!$D$5:$E$275,2,0)</f>
        <v>3014</v>
      </c>
      <c r="I3" s="26">
        <f>VLOOKUP(B3,'[2]현황(22년)'!$D$5:$E$275,2,0)</f>
        <v>2637</v>
      </c>
      <c r="J3" s="26">
        <f>VLOOKUP(B3,'[3]현황(23년)'!$C$5:$D$264,2,0)</f>
        <v>2143</v>
      </c>
      <c r="K3" s="26">
        <f>VLOOKUP(B3,'[4]현황(24년)'!$C$5:$D$245,2,0)</f>
        <v>3157</v>
      </c>
      <c r="L3" s="26">
        <f>VLOOKUP(B3,'[5]현황(25년)'!$C$5:$D$233,2,0)</f>
        <v>2733</v>
      </c>
      <c r="M3" s="26">
        <f>VLOOKUP(B3,'[6]현황(26년)'!$C$5:$D$228,2,0)</f>
        <v>1614</v>
      </c>
    </row>
    <row r="4" spans="1:13" s="1" customFormat="1">
      <c r="A4" s="25"/>
      <c r="B4" s="11" t="s">
        <v>7</v>
      </c>
      <c r="C4" s="11" t="s">
        <v>8</v>
      </c>
      <c r="D4" s="10" t="s">
        <v>501</v>
      </c>
      <c r="E4" s="10">
        <v>2014</v>
      </c>
      <c r="F4" s="11"/>
      <c r="G4" s="11">
        <v>19</v>
      </c>
      <c r="H4" s="26">
        <f>VLOOKUP(B4,'[1]현황(21년)'!$D$5:$E$275,2,0)</f>
        <v>3252</v>
      </c>
      <c r="I4" s="26">
        <f>VLOOKUP(B4,'[2]현황(22년)'!$D$5:$E$275,2,0)</f>
        <v>2438</v>
      </c>
      <c r="J4" s="26">
        <f>VLOOKUP(B4,'[3]현황(23년)'!$C$5:$D$264,2,0)</f>
        <v>1858</v>
      </c>
      <c r="K4" s="26">
        <f>VLOOKUP(B4,'[4]현황(24년)'!$C$5:$D$245,2,0)</f>
        <v>2110</v>
      </c>
      <c r="L4" s="26">
        <f>VLOOKUP(B4,'[5]현황(25년)'!$C$5:$D$233,2,0)</f>
        <v>2230</v>
      </c>
      <c r="M4" s="26">
        <f>VLOOKUP(B4,'[6]현황(26년)'!$C$5:$D$228,2,0)</f>
        <v>819</v>
      </c>
    </row>
    <row r="5" spans="1:13" s="1" customFormat="1">
      <c r="A5" s="25"/>
      <c r="B5" s="11" t="s">
        <v>9</v>
      </c>
      <c r="C5" s="11" t="s">
        <v>10</v>
      </c>
      <c r="D5" s="10" t="s">
        <v>501</v>
      </c>
      <c r="E5" s="10">
        <v>2020</v>
      </c>
      <c r="F5" s="11"/>
      <c r="G5" s="11">
        <v>12</v>
      </c>
      <c r="H5" s="26">
        <f>VLOOKUP(B5,'[1]현황(21년)'!$D$5:$E$275,2,0)</f>
        <v>176</v>
      </c>
      <c r="I5" s="26">
        <f>VLOOKUP(B5,'[2]현황(22년)'!$D$5:$E$275,2,0)</f>
        <v>406</v>
      </c>
      <c r="J5" s="26">
        <f>VLOOKUP(B5,'[3]현황(23년)'!$C$5:$D$264,2,0)</f>
        <v>505</v>
      </c>
      <c r="K5" s="26">
        <f>VLOOKUP(B5,'[4]현황(24년)'!$C$5:$D$245,2,0)</f>
        <v>628</v>
      </c>
      <c r="L5" s="26">
        <f>VLOOKUP(B5,'[5]현황(25년)'!$C$5:$D$233,2,0)</f>
        <v>529</v>
      </c>
      <c r="M5" s="26">
        <f>VLOOKUP(B5,'[6]현황(26년)'!$C$5:$D$228,2,0)</f>
        <v>307</v>
      </c>
    </row>
    <row r="6" spans="1:13" s="1" customFormat="1">
      <c r="A6" s="25"/>
      <c r="B6" s="11" t="s">
        <v>11</v>
      </c>
      <c r="C6" s="11" t="s">
        <v>12</v>
      </c>
      <c r="D6" s="10" t="s">
        <v>501</v>
      </c>
      <c r="E6" s="10">
        <v>2019</v>
      </c>
      <c r="F6" s="11"/>
      <c r="G6" s="11">
        <v>12</v>
      </c>
      <c r="H6" s="26">
        <f>VLOOKUP(B6,'[1]현황(21년)'!$D$5:$E$275,2,0)</f>
        <v>960</v>
      </c>
      <c r="I6" s="26">
        <f>VLOOKUP(B6,'[2]현황(22년)'!$D$5:$E$275,2,0)</f>
        <v>777</v>
      </c>
      <c r="J6" s="26">
        <f>VLOOKUP(B6,'[3]현황(23년)'!$C$5:$D$264,2,0)</f>
        <v>806</v>
      </c>
      <c r="K6" s="26">
        <f>VLOOKUP(B6,'[4]현황(24년)'!$C$5:$D$245,2,0)</f>
        <v>959</v>
      </c>
      <c r="L6" s="26">
        <f>VLOOKUP(B6,'[5]현황(25년)'!$C$5:$D$233,2,0)</f>
        <v>856</v>
      </c>
      <c r="M6" s="26">
        <f>VLOOKUP(B6,'[6]현황(26년)'!$C$5:$D$228,2,0)</f>
        <v>552</v>
      </c>
    </row>
    <row r="7" spans="1:13" s="1" customFormat="1">
      <c r="A7" s="27" t="s">
        <v>13</v>
      </c>
      <c r="B7" s="11" t="s">
        <v>14</v>
      </c>
      <c r="C7" s="11" t="s">
        <v>15</v>
      </c>
      <c r="D7" s="10" t="s">
        <v>486</v>
      </c>
      <c r="E7" s="10">
        <v>2017</v>
      </c>
      <c r="F7" s="11">
        <v>2025</v>
      </c>
      <c r="G7" s="11">
        <v>12</v>
      </c>
      <c r="H7" s="26">
        <f>VLOOKUP(B7,'[1]현황(21년)'!$D$5:$E$275,2,0)</f>
        <v>1226</v>
      </c>
      <c r="I7" s="26">
        <f>VLOOKUP(B7,'[2]현황(22년)'!$D$5:$E$275,2,0)</f>
        <v>1203</v>
      </c>
      <c r="J7" s="26">
        <f>VLOOKUP(B7,'[3]현황(23년)'!$C$5:$D$264,2,0)</f>
        <v>1118</v>
      </c>
      <c r="K7" s="26">
        <f>VLOOKUP(B7,'[4]현황(24년)'!$C$5:$D$245,2,0)</f>
        <v>1248</v>
      </c>
      <c r="L7" s="26" t="s">
        <v>585</v>
      </c>
      <c r="M7" s="26" t="s">
        <v>585</v>
      </c>
    </row>
    <row r="8" spans="1:13" s="1" customFormat="1">
      <c r="A8" s="27"/>
      <c r="B8" s="11" t="s">
        <v>16</v>
      </c>
      <c r="C8" s="11" t="s">
        <v>17</v>
      </c>
      <c r="D8" s="10" t="s">
        <v>501</v>
      </c>
      <c r="E8" s="10">
        <v>2017</v>
      </c>
      <c r="F8" s="11"/>
      <c r="G8" s="11">
        <v>19</v>
      </c>
      <c r="H8" s="26">
        <f>VLOOKUP(B8,'[1]현황(21년)'!$D$5:$E$275,2,0)</f>
        <v>2442</v>
      </c>
      <c r="I8" s="26">
        <f>VLOOKUP(B8,'[2]현황(22년)'!$D$5:$E$275,2,0)</f>
        <v>2291</v>
      </c>
      <c r="J8" s="26">
        <f>VLOOKUP(B8,'[3]현황(23년)'!$C$5:$D$264,2,0)</f>
        <v>2217</v>
      </c>
      <c r="K8" s="26">
        <f>VLOOKUP(B8,'[4]현황(24년)'!$C$5:$D$245,2,0)</f>
        <v>1892</v>
      </c>
      <c r="L8" s="26">
        <f>VLOOKUP(B8,'[5]현황(25년)'!$C$5:$D$233,2,0)</f>
        <v>1647</v>
      </c>
      <c r="M8" s="26">
        <f>VLOOKUP(B8,'[6]현황(26년)'!$C$5:$D$228,2,0)</f>
        <v>928</v>
      </c>
    </row>
    <row r="9" spans="1:13" s="1" customFormat="1">
      <c r="A9" s="27"/>
      <c r="B9" s="11" t="s">
        <v>18</v>
      </c>
      <c r="C9" s="11" t="s">
        <v>19</v>
      </c>
      <c r="D9" s="10" t="s">
        <v>501</v>
      </c>
      <c r="E9" s="10">
        <v>2016</v>
      </c>
      <c r="F9" s="11"/>
      <c r="G9" s="11">
        <v>19</v>
      </c>
      <c r="H9" s="26">
        <f>VLOOKUP(B9,'[1]현황(21년)'!$D$5:$E$275,2,0)</f>
        <v>1455</v>
      </c>
      <c r="I9" s="26">
        <f>VLOOKUP(B9,'[2]현황(22년)'!$D$5:$E$275,2,0)</f>
        <v>1552</v>
      </c>
      <c r="J9" s="26">
        <f>VLOOKUP(B9,'[3]현황(23년)'!$C$5:$D$264,2,0)</f>
        <v>1167</v>
      </c>
      <c r="K9" s="26">
        <f>VLOOKUP(B9,'[4]현황(24년)'!$C$5:$D$245,2,0)</f>
        <v>1530</v>
      </c>
      <c r="L9" s="26">
        <f>VLOOKUP(B9,'[5]현황(25년)'!$C$5:$D$233,2,0)</f>
        <v>2076</v>
      </c>
      <c r="M9" s="26">
        <f>VLOOKUP(B9,'[6]현황(26년)'!$C$5:$D$228,2,0)</f>
        <v>978</v>
      </c>
    </row>
    <row r="10" spans="1:13" s="1" customFormat="1">
      <c r="A10" s="27"/>
      <c r="B10" s="11" t="s">
        <v>20</v>
      </c>
      <c r="C10" s="11" t="s">
        <v>21</v>
      </c>
      <c r="D10" s="10" t="s">
        <v>487</v>
      </c>
      <c r="E10" s="10">
        <v>2014</v>
      </c>
      <c r="F10" s="11">
        <v>2025</v>
      </c>
      <c r="G10" s="11">
        <v>19</v>
      </c>
      <c r="H10" s="26">
        <f>VLOOKUP(B10,'[1]현황(21년)'!$D$5:$E$275,2,0)</f>
        <v>1565</v>
      </c>
      <c r="I10" s="26">
        <f>VLOOKUP(B10,'[2]현황(22년)'!$D$5:$E$275,2,0)</f>
        <v>1270</v>
      </c>
      <c r="J10" s="26">
        <f>VLOOKUP(B10,'[3]현황(23년)'!$C$5:$D$264,2,0)</f>
        <v>1264</v>
      </c>
      <c r="K10" s="26">
        <f>VLOOKUP(B10,'[4]현황(24년)'!$C$5:$D$245,2,0)</f>
        <v>1416</v>
      </c>
      <c r="L10" s="26" t="s">
        <v>585</v>
      </c>
      <c r="M10" s="26" t="s">
        <v>585</v>
      </c>
    </row>
    <row r="11" spans="1:13" s="1" customFormat="1">
      <c r="A11" s="27"/>
      <c r="B11" s="11" t="s">
        <v>489</v>
      </c>
      <c r="C11" s="11" t="s">
        <v>22</v>
      </c>
      <c r="D11" s="10" t="s">
        <v>487</v>
      </c>
      <c r="E11" s="10">
        <v>2018</v>
      </c>
      <c r="F11" s="11">
        <v>2024</v>
      </c>
      <c r="G11" s="11">
        <v>12</v>
      </c>
      <c r="H11" s="26">
        <f>VLOOKUP(B11,'[1]현황(21년)'!$D$5:$E$275,2,0)</f>
        <v>545</v>
      </c>
      <c r="I11" s="26">
        <f>VLOOKUP(B11,'[2]현황(22년)'!$D$5:$E$275,2,0)</f>
        <v>271</v>
      </c>
      <c r="J11" s="26">
        <f>VLOOKUP(B11,'[3]현황(23년)'!$C$5:$D$264,2,0)</f>
        <v>227</v>
      </c>
      <c r="K11" s="26" t="s">
        <v>585</v>
      </c>
      <c r="L11" s="26" t="s">
        <v>585</v>
      </c>
      <c r="M11" s="26" t="s">
        <v>585</v>
      </c>
    </row>
    <row r="12" spans="1:13" s="1" customFormat="1">
      <c r="A12" s="27"/>
      <c r="B12" s="11" t="s">
        <v>586</v>
      </c>
      <c r="C12" s="11" t="s">
        <v>23</v>
      </c>
      <c r="D12" s="10" t="s">
        <v>487</v>
      </c>
      <c r="E12" s="10" t="s">
        <v>566</v>
      </c>
      <c r="F12" s="11">
        <v>2024</v>
      </c>
      <c r="G12" s="11">
        <v>12</v>
      </c>
      <c r="H12" s="26">
        <f>VLOOKUP(B12,'[1]현황(21년)'!$D$5:$E$275,2,0)</f>
        <v>238</v>
      </c>
      <c r="I12" s="26">
        <f>VLOOKUP(B12,'[2]현황(22년)'!$D$5:$E$275,2,0)</f>
        <v>151</v>
      </c>
      <c r="J12" s="26">
        <f>VLOOKUP(B12,'[3]현황(23년)'!$C$5:$D$264,2,0)</f>
        <v>264</v>
      </c>
      <c r="K12" s="26" t="s">
        <v>585</v>
      </c>
      <c r="L12" s="26" t="s">
        <v>585</v>
      </c>
      <c r="M12" s="26" t="s">
        <v>585</v>
      </c>
    </row>
    <row r="13" spans="1:13" s="1" customFormat="1">
      <c r="A13" s="27"/>
      <c r="B13" s="11" t="s">
        <v>526</v>
      </c>
      <c r="C13" s="11" t="s">
        <v>544</v>
      </c>
      <c r="D13" s="10" t="s">
        <v>487</v>
      </c>
      <c r="E13" s="10">
        <v>2016</v>
      </c>
      <c r="F13" s="11">
        <v>2024</v>
      </c>
      <c r="G13" s="11">
        <v>19</v>
      </c>
      <c r="H13" s="26">
        <f>VLOOKUP(B13,'[1]현황(21년)'!$D$5:$E$275,2,0)</f>
        <v>2499</v>
      </c>
      <c r="I13" s="26">
        <f>VLOOKUP(B13,'[2]현황(22년)'!$D$5:$E$275,2,0)</f>
        <v>2494</v>
      </c>
      <c r="J13" s="26">
        <f>VLOOKUP(B13,'[3]현황(23년)'!$C$5:$D$264,2,0)</f>
        <v>2281</v>
      </c>
      <c r="K13" s="26" t="s">
        <v>585</v>
      </c>
      <c r="L13" s="26" t="s">
        <v>585</v>
      </c>
      <c r="M13" s="26" t="s">
        <v>585</v>
      </c>
    </row>
    <row r="14" spans="1:13" s="1" customFormat="1">
      <c r="A14" s="27"/>
      <c r="B14" s="11" t="s">
        <v>527</v>
      </c>
      <c r="C14" s="11" t="s">
        <v>545</v>
      </c>
      <c r="D14" s="10" t="s">
        <v>487</v>
      </c>
      <c r="E14" s="10" t="s">
        <v>566</v>
      </c>
      <c r="F14" s="11">
        <v>2022</v>
      </c>
      <c r="G14" s="11">
        <v>12</v>
      </c>
      <c r="H14" s="26">
        <f>VLOOKUP(B14,'[1]현황(21년)'!$D$5:$E$275,2,0)</f>
        <v>379</v>
      </c>
      <c r="I14" s="26" t="s">
        <v>585</v>
      </c>
      <c r="J14" s="26" t="s">
        <v>585</v>
      </c>
      <c r="K14" s="26" t="s">
        <v>585</v>
      </c>
      <c r="L14" s="26" t="s">
        <v>585</v>
      </c>
      <c r="M14" s="26" t="s">
        <v>585</v>
      </c>
    </row>
    <row r="15" spans="1:13" s="1" customFormat="1">
      <c r="A15" s="27"/>
      <c r="B15" s="11" t="s">
        <v>24</v>
      </c>
      <c r="C15" s="11" t="s">
        <v>25</v>
      </c>
      <c r="D15" s="10" t="s">
        <v>501</v>
      </c>
      <c r="E15" s="10">
        <v>2023</v>
      </c>
      <c r="F15" s="11"/>
      <c r="G15" s="11">
        <v>12</v>
      </c>
      <c r="H15" s="26" t="s">
        <v>585</v>
      </c>
      <c r="I15" s="26" t="s">
        <v>585</v>
      </c>
      <c r="J15" s="26">
        <f>VLOOKUP(B15,'[3]현황(23년)'!$C$5:$D$264,2,0)</f>
        <v>10</v>
      </c>
      <c r="K15" s="26">
        <f>VLOOKUP(B15,'[4]현황(24년)'!$C$5:$D$245,2,0)</f>
        <v>112</v>
      </c>
      <c r="L15" s="26">
        <f>VLOOKUP(B15,'[5]현황(25년)'!$C$5:$D$233,2,0)</f>
        <v>171</v>
      </c>
      <c r="M15" s="26" t="s">
        <v>597</v>
      </c>
    </row>
    <row r="16" spans="1:13" s="1" customFormat="1">
      <c r="A16" s="27" t="s">
        <v>26</v>
      </c>
      <c r="B16" s="11" t="s">
        <v>27</v>
      </c>
      <c r="C16" s="11" t="s">
        <v>28</v>
      </c>
      <c r="D16" s="10" t="s">
        <v>501</v>
      </c>
      <c r="E16" s="10">
        <v>2020</v>
      </c>
      <c r="F16" s="11"/>
      <c r="G16" s="11">
        <v>12</v>
      </c>
      <c r="H16" s="26">
        <f>VLOOKUP(B16,'[1]현황(21년)'!$D$5:$E$275,2,0)</f>
        <v>1583</v>
      </c>
      <c r="I16" s="26">
        <f>VLOOKUP(B16,'[2]현황(22년)'!$D$5:$E$275,2,0)</f>
        <v>1150</v>
      </c>
      <c r="J16" s="26">
        <f>VLOOKUP(B16,'[3]현황(23년)'!$C$5:$D$264,2,0)</f>
        <v>910</v>
      </c>
      <c r="K16" s="26">
        <f>VLOOKUP(B16,'[4]현황(24년)'!$C$5:$D$245,2,0)</f>
        <v>715</v>
      </c>
      <c r="L16" s="26">
        <f>VLOOKUP(B16,'[5]현황(25년)'!$C$5:$D$233,2,0)</f>
        <v>422</v>
      </c>
      <c r="M16" s="26">
        <f>VLOOKUP(B16,'[6]현황(26년)'!$C$5:$D$228,2,0)</f>
        <v>169</v>
      </c>
    </row>
    <row r="17" spans="1:13" s="1" customFormat="1">
      <c r="A17" s="27"/>
      <c r="B17" s="11" t="s">
        <v>29</v>
      </c>
      <c r="C17" s="11" t="s">
        <v>30</v>
      </c>
      <c r="D17" s="10" t="s">
        <v>501</v>
      </c>
      <c r="E17" s="10">
        <v>2017</v>
      </c>
      <c r="F17" s="11"/>
      <c r="G17" s="11">
        <v>19</v>
      </c>
      <c r="H17" s="26">
        <f>VLOOKUP(B17,'[1]현황(21년)'!$D$5:$E$275,2,0)</f>
        <v>2049</v>
      </c>
      <c r="I17" s="26">
        <f>VLOOKUP(B17,'[2]현황(22년)'!$D$5:$E$275,2,0)</f>
        <v>1805</v>
      </c>
      <c r="J17" s="26">
        <f>VLOOKUP(B17,'[3]현황(23년)'!$C$5:$D$264,2,0)</f>
        <v>2033</v>
      </c>
      <c r="K17" s="26">
        <f>VLOOKUP(B17,'[4]현황(24년)'!$C$5:$D$245,2,0)</f>
        <v>2190</v>
      </c>
      <c r="L17" s="26">
        <f>VLOOKUP(B17,'[5]현황(25년)'!$C$5:$D$233,2,0)</f>
        <v>2398</v>
      </c>
      <c r="M17" s="26">
        <f>VLOOKUP(B17,'[6]현황(26년)'!$C$5:$D$228,2,0)</f>
        <v>1467</v>
      </c>
    </row>
    <row r="18" spans="1:13" s="1" customFormat="1">
      <c r="A18" s="27"/>
      <c r="B18" s="11" t="s">
        <v>31</v>
      </c>
      <c r="C18" s="11" t="s">
        <v>32</v>
      </c>
      <c r="D18" s="10" t="s">
        <v>501</v>
      </c>
      <c r="E18" s="10">
        <v>2016</v>
      </c>
      <c r="F18" s="11"/>
      <c r="G18" s="11">
        <v>19</v>
      </c>
      <c r="H18" s="26">
        <f>VLOOKUP(B18,'[1]현황(21년)'!$D$5:$E$275,2,0)</f>
        <v>2126</v>
      </c>
      <c r="I18" s="26">
        <f>VLOOKUP(B18,'[2]현황(22년)'!$D$5:$E$275,2,0)</f>
        <v>2209</v>
      </c>
      <c r="J18" s="26">
        <f>VLOOKUP(B18,'[3]현황(23년)'!$C$5:$D$264,2,0)</f>
        <v>1128</v>
      </c>
      <c r="K18" s="26">
        <f>VLOOKUP(B18,'[4]현황(24년)'!$C$5:$D$245,2,0)</f>
        <v>1549</v>
      </c>
      <c r="L18" s="26">
        <f>VLOOKUP(B18,'[5]현황(25년)'!$C$5:$D$233,2,0)</f>
        <v>1698</v>
      </c>
      <c r="M18" s="26">
        <f>VLOOKUP(B18,'[6]현황(26년)'!$C$5:$D$228,2,0)</f>
        <v>630</v>
      </c>
    </row>
    <row r="19" spans="1:13" s="1" customFormat="1">
      <c r="A19" s="27"/>
      <c r="B19" s="11" t="s">
        <v>33</v>
      </c>
      <c r="C19" s="11" t="s">
        <v>34</v>
      </c>
      <c r="D19" s="10" t="s">
        <v>501</v>
      </c>
      <c r="E19" s="10">
        <v>2016</v>
      </c>
      <c r="F19" s="11"/>
      <c r="G19" s="11">
        <v>19</v>
      </c>
      <c r="H19" s="26">
        <f>VLOOKUP(B19,'[1]현황(21년)'!$D$5:$E$275,2,0)</f>
        <v>1588</v>
      </c>
      <c r="I19" s="26">
        <f>VLOOKUP(B19,'[2]현황(22년)'!$D$5:$E$275,2,0)</f>
        <v>1660</v>
      </c>
      <c r="J19" s="26">
        <f>VLOOKUP(B19,'[3]현황(23년)'!$C$5:$D$264,2,0)</f>
        <v>848</v>
      </c>
      <c r="K19" s="26">
        <f>VLOOKUP(B19,'[4]현황(24년)'!$C$5:$D$245,2,0)</f>
        <v>1020</v>
      </c>
      <c r="L19" s="26">
        <f>VLOOKUP(B19,'[5]현황(25년)'!$C$5:$D$233,2,0)</f>
        <v>1140</v>
      </c>
      <c r="M19" s="26">
        <f>VLOOKUP(B19,'[6]현황(26년)'!$C$5:$D$228,2,0)</f>
        <v>583</v>
      </c>
    </row>
    <row r="20" spans="1:13" s="1" customFormat="1">
      <c r="A20" s="27"/>
      <c r="B20" s="11" t="s">
        <v>35</v>
      </c>
      <c r="C20" s="11" t="s">
        <v>36</v>
      </c>
      <c r="D20" s="10" t="s">
        <v>501</v>
      </c>
      <c r="E20" s="10">
        <v>2016</v>
      </c>
      <c r="F20" s="11"/>
      <c r="G20" s="11">
        <v>12</v>
      </c>
      <c r="H20" s="26">
        <f>VLOOKUP(B20,'[1]현황(21년)'!$D$5:$E$275,2,0)</f>
        <v>1300</v>
      </c>
      <c r="I20" s="26">
        <f>VLOOKUP(B20,'[2]현황(22년)'!$D$5:$E$275,2,0)</f>
        <v>1330</v>
      </c>
      <c r="J20" s="26">
        <f>VLOOKUP(B20,'[3]현황(23년)'!$C$5:$D$264,2,0)</f>
        <v>1053</v>
      </c>
      <c r="K20" s="26">
        <f>VLOOKUP(B20,'[4]현황(24년)'!$C$5:$D$245,2,0)</f>
        <v>1304</v>
      </c>
      <c r="L20" s="26">
        <f>VLOOKUP(B20,'[5]현황(25년)'!$C$5:$D$233,2,0)</f>
        <v>1578</v>
      </c>
      <c r="M20" s="26">
        <f>VLOOKUP(B20,'[6]현황(26년)'!$C$5:$D$228,2,0)</f>
        <v>643</v>
      </c>
    </row>
    <row r="21" spans="1:13" s="1" customFormat="1">
      <c r="A21" s="27"/>
      <c r="B21" s="11" t="s">
        <v>37</v>
      </c>
      <c r="C21" s="11" t="s">
        <v>38</v>
      </c>
      <c r="D21" s="10" t="s">
        <v>501</v>
      </c>
      <c r="E21" s="10">
        <v>2013</v>
      </c>
      <c r="F21" s="11"/>
      <c r="G21" s="11">
        <v>19</v>
      </c>
      <c r="H21" s="26">
        <f>VLOOKUP(B21,'[1]현황(21년)'!$D$5:$E$275,2,0)</f>
        <v>3502</v>
      </c>
      <c r="I21" s="26">
        <f>VLOOKUP(B21,'[2]현황(22년)'!$D$5:$E$275,2,0)</f>
        <v>3615</v>
      </c>
      <c r="J21" s="26">
        <f>VLOOKUP(B21,'[3]현황(23년)'!$C$5:$D$264,2,0)</f>
        <v>3088</v>
      </c>
      <c r="K21" s="26">
        <f>VLOOKUP(B21,'[4]현황(24년)'!$C$5:$D$245,2,0)</f>
        <v>2470</v>
      </c>
      <c r="L21" s="26">
        <f>VLOOKUP(B21,'[5]현황(25년)'!$C$5:$D$233,2,0)</f>
        <v>2060</v>
      </c>
      <c r="M21" s="26">
        <f>VLOOKUP(B21,'[6]현황(26년)'!$C$5:$D$228,2,0)</f>
        <v>717</v>
      </c>
    </row>
    <row r="22" spans="1:13" s="1" customFormat="1">
      <c r="A22" s="27"/>
      <c r="B22" s="11" t="s">
        <v>528</v>
      </c>
      <c r="C22" s="11" t="s">
        <v>546</v>
      </c>
      <c r="D22" s="10" t="s">
        <v>487</v>
      </c>
      <c r="E22" s="10" t="s">
        <v>566</v>
      </c>
      <c r="F22" s="11">
        <v>2023</v>
      </c>
      <c r="G22" s="11">
        <v>19</v>
      </c>
      <c r="H22" s="26">
        <f>VLOOKUP(B22,'[1]현황(21년)'!$D$5:$E$275,2,0)</f>
        <v>23</v>
      </c>
      <c r="I22" s="26">
        <f>VLOOKUP(B22,'[2]현황(22년)'!$D$5:$E$275,2,0)</f>
        <v>12</v>
      </c>
      <c r="J22" s="26" t="s">
        <v>585</v>
      </c>
      <c r="K22" s="26" t="s">
        <v>585</v>
      </c>
      <c r="L22" s="26" t="s">
        <v>585</v>
      </c>
      <c r="M22" s="26" t="s">
        <v>585</v>
      </c>
    </row>
    <row r="23" spans="1:13" s="1" customFormat="1">
      <c r="A23" s="27"/>
      <c r="B23" s="11" t="s">
        <v>39</v>
      </c>
      <c r="C23" s="11" t="s">
        <v>40</v>
      </c>
      <c r="D23" s="10" t="s">
        <v>501</v>
      </c>
      <c r="E23" s="10">
        <v>2013</v>
      </c>
      <c r="F23" s="11"/>
      <c r="G23" s="11">
        <v>26</v>
      </c>
      <c r="H23" s="26">
        <f>VLOOKUP(B23,'[1]현황(21년)'!$D$5:$E$275,2,0)</f>
        <v>3553</v>
      </c>
      <c r="I23" s="26">
        <f>VLOOKUP(B23,'[2]현황(22년)'!$D$5:$E$275,2,0)</f>
        <v>4250</v>
      </c>
      <c r="J23" s="26">
        <f>VLOOKUP(B23,'[3]현황(23년)'!$C$5:$D$264,2,0)</f>
        <v>2944</v>
      </c>
      <c r="K23" s="26">
        <f>VLOOKUP(B23,'[4]현황(24년)'!$C$5:$D$245,2,0)</f>
        <v>3555</v>
      </c>
      <c r="L23" s="26">
        <f>VLOOKUP(B23,'[5]현황(25년)'!$C$5:$D$233,2,0)</f>
        <v>3617</v>
      </c>
      <c r="M23" s="26">
        <f>VLOOKUP(B23,'[6]현황(26년)'!$C$5:$D$228,2,0)</f>
        <v>1676</v>
      </c>
    </row>
    <row r="24" spans="1:13" s="1" customFormat="1">
      <c r="A24" s="27"/>
      <c r="B24" s="11" t="s">
        <v>41</v>
      </c>
      <c r="C24" s="11" t="s">
        <v>42</v>
      </c>
      <c r="D24" s="10" t="s">
        <v>501</v>
      </c>
      <c r="E24" s="10">
        <v>2018</v>
      </c>
      <c r="F24" s="11"/>
      <c r="G24" s="11">
        <v>12</v>
      </c>
      <c r="H24" s="26">
        <f>VLOOKUP(B24,'[1]현황(21년)'!$D$5:$E$275,2,0)</f>
        <v>2057</v>
      </c>
      <c r="I24" s="26">
        <f>VLOOKUP(B24,'[2]현황(22년)'!$D$5:$E$275,2,0)</f>
        <v>1704</v>
      </c>
      <c r="J24" s="26">
        <f>VLOOKUP(B24,'[3]현황(23년)'!$C$5:$D$264,2,0)</f>
        <v>1781</v>
      </c>
      <c r="K24" s="26">
        <f>VLOOKUP(B24,'[4]현황(24년)'!$C$5:$D$245,2,0)</f>
        <v>1192</v>
      </c>
      <c r="L24" s="26">
        <f>VLOOKUP(B24,'[5]현황(25년)'!$C$5:$D$233,2,0)</f>
        <v>1945</v>
      </c>
      <c r="M24" s="26">
        <f>VLOOKUP(B24,'[6]현황(26년)'!$C$5:$D$228,2,0)</f>
        <v>992</v>
      </c>
    </row>
    <row r="25" spans="1:13" s="1" customFormat="1">
      <c r="A25" s="27" t="s">
        <v>43</v>
      </c>
      <c r="B25" s="11" t="s">
        <v>587</v>
      </c>
      <c r="C25" s="11" t="s">
        <v>44</v>
      </c>
      <c r="D25" s="10" t="s">
        <v>508</v>
      </c>
      <c r="E25" s="10" t="s">
        <v>566</v>
      </c>
      <c r="F25" s="11"/>
      <c r="G25" s="11">
        <v>12</v>
      </c>
      <c r="H25" s="26">
        <f>VLOOKUP(B25,'[1]현황(21년)'!$D$5:$E$275,2,0)</f>
        <v>758</v>
      </c>
      <c r="I25" s="26">
        <f>VLOOKUP(B25,'[2]현황(22년)'!$D$5:$E$275,2,0)</f>
        <v>1019</v>
      </c>
      <c r="J25" s="26">
        <f>VLOOKUP(B25,'[3]현황(23년)'!$C$5:$D$264,2,0)</f>
        <v>1031</v>
      </c>
      <c r="K25" s="26">
        <f>VLOOKUP(B25,'[4]현황(24년)'!$C$5:$D$245,2,0)</f>
        <v>911</v>
      </c>
      <c r="L25" s="26">
        <f>VLOOKUP(B25,'[5]현황(25년)'!$C$5:$D$233,2,0)</f>
        <v>1472</v>
      </c>
      <c r="M25" s="26">
        <f>VLOOKUP(B25,'[6]현황(26년)'!$C$5:$D$228,2,0)</f>
        <v>661</v>
      </c>
    </row>
    <row r="26" spans="1:13" s="1" customFormat="1">
      <c r="A26" s="27"/>
      <c r="B26" s="11" t="s">
        <v>588</v>
      </c>
      <c r="C26" s="11" t="s">
        <v>45</v>
      </c>
      <c r="D26" s="10" t="s">
        <v>508</v>
      </c>
      <c r="E26" s="10">
        <v>2021</v>
      </c>
      <c r="F26" s="11"/>
      <c r="G26" s="11">
        <v>12</v>
      </c>
      <c r="H26" s="26">
        <f>VLOOKUP(B26,'[1]현황(21년)'!$D$5:$E$275,2,0)</f>
        <v>168</v>
      </c>
      <c r="I26" s="26">
        <f>VLOOKUP(B26,'[2]현황(22년)'!$D$5:$E$275,2,0)</f>
        <v>221</v>
      </c>
      <c r="J26" s="26">
        <f>VLOOKUP(B26,'[3]현황(23년)'!$C$5:$D$264,2,0)</f>
        <v>808</v>
      </c>
      <c r="K26" s="26">
        <f>VLOOKUP(B26,'[4]현황(24년)'!$C$5:$D$245,2,0)</f>
        <v>747</v>
      </c>
      <c r="L26" s="26">
        <f>VLOOKUP(B26,'[5]현황(25년)'!$C$5:$D$233,2,0)</f>
        <v>533</v>
      </c>
      <c r="M26" s="26">
        <f>VLOOKUP(B26,'[6]현황(26년)'!$C$5:$D$228,2,0)</f>
        <v>363</v>
      </c>
    </row>
    <row r="27" spans="1:13" s="1" customFormat="1">
      <c r="A27" s="27"/>
      <c r="B27" s="11" t="s">
        <v>490</v>
      </c>
      <c r="C27" s="11" t="s">
        <v>46</v>
      </c>
      <c r="D27" s="10" t="s">
        <v>487</v>
      </c>
      <c r="E27" s="10">
        <v>2020</v>
      </c>
      <c r="F27" s="11">
        <v>2024</v>
      </c>
      <c r="G27" s="11">
        <v>12</v>
      </c>
      <c r="H27" s="26">
        <v>98</v>
      </c>
      <c r="I27" s="26">
        <f>VLOOKUP(B27,'[2]현황(22년)'!$D$5:$E$275,2,0)</f>
        <v>484</v>
      </c>
      <c r="J27" s="26">
        <f>VLOOKUP(B27,'[3]현황(23년)'!$C$5:$D$264,2,0)</f>
        <v>577</v>
      </c>
      <c r="K27" s="26" t="s">
        <v>585</v>
      </c>
      <c r="L27" s="26" t="s">
        <v>585</v>
      </c>
      <c r="M27" s="26" t="s">
        <v>585</v>
      </c>
    </row>
    <row r="28" spans="1:13" s="1" customFormat="1">
      <c r="A28" s="27"/>
      <c r="B28" s="11" t="s">
        <v>491</v>
      </c>
      <c r="C28" s="11" t="s">
        <v>47</v>
      </c>
      <c r="D28" s="10" t="s">
        <v>487</v>
      </c>
      <c r="E28" s="10" t="s">
        <v>566</v>
      </c>
      <c r="F28" s="11">
        <v>2024</v>
      </c>
      <c r="G28" s="11">
        <v>19</v>
      </c>
      <c r="H28" s="26">
        <f>VLOOKUP(B28,'[1]현황(21년)'!$D$5:$E$275,2,0)</f>
        <v>202</v>
      </c>
      <c r="I28" s="26">
        <f>VLOOKUP(B28,'[2]현황(22년)'!$D$5:$E$275,2,0)</f>
        <v>411</v>
      </c>
      <c r="J28" s="26">
        <f>VLOOKUP(B28,'[3]현황(23년)'!$C$5:$D$264,2,0)</f>
        <v>502</v>
      </c>
      <c r="K28" s="26" t="s">
        <v>585</v>
      </c>
      <c r="L28" s="26" t="s">
        <v>585</v>
      </c>
      <c r="M28" s="26" t="s">
        <v>585</v>
      </c>
    </row>
    <row r="29" spans="1:13" s="1" customFormat="1">
      <c r="A29" s="27"/>
      <c r="B29" s="11" t="s">
        <v>502</v>
      </c>
      <c r="C29" s="11" t="s">
        <v>48</v>
      </c>
      <c r="D29" s="10" t="s">
        <v>508</v>
      </c>
      <c r="E29" s="10" t="s">
        <v>566</v>
      </c>
      <c r="F29" s="11"/>
      <c r="G29" s="11">
        <v>12</v>
      </c>
      <c r="H29" s="26">
        <f>VLOOKUP(B29,'[1]현황(21년)'!$D$5:$E$275,2,0)</f>
        <v>503</v>
      </c>
      <c r="I29" s="26">
        <f>VLOOKUP(B29,'[2]현황(22년)'!$D$5:$E$275,2,0)</f>
        <v>625</v>
      </c>
      <c r="J29" s="26">
        <f>VLOOKUP(B29,'[3]현황(23년)'!$C$5:$D$264,2,0)</f>
        <v>1450</v>
      </c>
      <c r="K29" s="26">
        <f>VLOOKUP(B29,'[4]현황(24년)'!$C$5:$D$245,2,0)</f>
        <v>1083</v>
      </c>
      <c r="L29" s="26">
        <f>VLOOKUP(B29,'[5]현황(25년)'!$C$5:$D$233,2,0)</f>
        <v>801</v>
      </c>
      <c r="M29" s="26">
        <f>VLOOKUP(B29,'[6]현황(26년)'!$C$5:$D$228,2,0)</f>
        <v>528</v>
      </c>
    </row>
    <row r="30" spans="1:13" s="1" customFormat="1">
      <c r="A30" s="27"/>
      <c r="B30" s="11" t="s">
        <v>49</v>
      </c>
      <c r="C30" s="11" t="s">
        <v>50</v>
      </c>
      <c r="D30" s="10" t="s">
        <v>501</v>
      </c>
      <c r="E30" s="10">
        <v>2017</v>
      </c>
      <c r="F30" s="11"/>
      <c r="G30" s="11">
        <v>19</v>
      </c>
      <c r="H30" s="26">
        <f>VLOOKUP(B30,'[1]현황(21년)'!$D$5:$E$275,2,0)</f>
        <v>2290</v>
      </c>
      <c r="I30" s="26">
        <f>VLOOKUP(B30,'[2]현황(22년)'!$D$5:$E$275,2,0)</f>
        <v>2328</v>
      </c>
      <c r="J30" s="26">
        <f>VLOOKUP(B30,'[3]현황(23년)'!$C$5:$D$264,2,0)</f>
        <v>2115</v>
      </c>
      <c r="K30" s="26">
        <f>VLOOKUP(B30,'[4]현황(24년)'!$C$5:$D$245,2,0)</f>
        <v>2079</v>
      </c>
      <c r="L30" s="26">
        <f>VLOOKUP(B30,'[5]현황(25년)'!$C$5:$D$233,2,0)</f>
        <v>1720</v>
      </c>
      <c r="M30" s="26">
        <f>VLOOKUP(B30,'[6]현황(26년)'!$C$5:$D$228,2,0)</f>
        <v>824</v>
      </c>
    </row>
    <row r="31" spans="1:13" s="1" customFormat="1">
      <c r="A31" s="27"/>
      <c r="B31" s="11" t="s">
        <v>504</v>
      </c>
      <c r="C31" s="11" t="s">
        <v>505</v>
      </c>
      <c r="D31" s="10" t="s">
        <v>508</v>
      </c>
      <c r="E31" s="10">
        <v>2024</v>
      </c>
      <c r="F31" s="11"/>
      <c r="G31" s="11">
        <v>12</v>
      </c>
      <c r="H31" s="26" t="s">
        <v>585</v>
      </c>
      <c r="I31" s="26" t="s">
        <v>585</v>
      </c>
      <c r="J31" s="26" t="s">
        <v>585</v>
      </c>
      <c r="K31" s="26">
        <f>VLOOKUP(B31,'[4]현황(24년)'!$C$5:$D$245,2,0)</f>
        <v>3</v>
      </c>
      <c r="L31" s="26">
        <f>VLOOKUP(B31,'[5]현황(25년)'!$C$5:$D$233,2,0)</f>
        <v>15</v>
      </c>
      <c r="M31" s="26">
        <f>VLOOKUP(B31,'[6]현황(26년)'!$C$5:$D$228,2,0)</f>
        <v>13</v>
      </c>
    </row>
    <row r="32" spans="1:13" s="1" customFormat="1">
      <c r="A32" s="27"/>
      <c r="B32" s="11" t="s">
        <v>51</v>
      </c>
      <c r="C32" s="11" t="s">
        <v>52</v>
      </c>
      <c r="D32" s="10" t="s">
        <v>501</v>
      </c>
      <c r="E32" s="10">
        <v>2016</v>
      </c>
      <c r="F32" s="11"/>
      <c r="G32" s="11">
        <v>26</v>
      </c>
      <c r="H32" s="26">
        <f>VLOOKUP(B32,'[1]현황(21년)'!$D$5:$E$275,2,0)</f>
        <v>5305</v>
      </c>
      <c r="I32" s="26">
        <f>VLOOKUP(B32,'[2]현황(22년)'!$D$5:$E$275,2,0)</f>
        <v>5975</v>
      </c>
      <c r="J32" s="26">
        <f>VLOOKUP(B32,'[3]현황(23년)'!$C$5:$D$264,2,0)</f>
        <v>6037</v>
      </c>
      <c r="K32" s="26">
        <f>VLOOKUP(B32,'[4]현황(24년)'!$C$5:$D$245,2,0)</f>
        <v>5485</v>
      </c>
      <c r="L32" s="26">
        <f>VLOOKUP(B32,'[5]현황(25년)'!$C$5:$D$233,2,0)</f>
        <v>5110</v>
      </c>
      <c r="M32" s="26">
        <f>VLOOKUP(B32,'[6]현황(26년)'!$C$5:$D$228,2,0)</f>
        <v>2373</v>
      </c>
    </row>
    <row r="33" spans="1:13" s="1" customFormat="1">
      <c r="A33" s="27"/>
      <c r="B33" s="11" t="s">
        <v>503</v>
      </c>
      <c r="C33" s="11" t="s">
        <v>53</v>
      </c>
      <c r="D33" s="10" t="s">
        <v>508</v>
      </c>
      <c r="E33" s="10">
        <v>2022</v>
      </c>
      <c r="F33" s="11"/>
      <c r="G33" s="11">
        <v>12</v>
      </c>
      <c r="H33" s="26" t="s">
        <v>585</v>
      </c>
      <c r="I33" s="26">
        <f>VLOOKUP(B33,'[2]현황(22년)'!$D$5:$E$275,2,0)</f>
        <v>2830</v>
      </c>
      <c r="J33" s="26">
        <f>VLOOKUP(B33,'[3]현황(23년)'!$C$5:$D$264,2,0)</f>
        <v>1220</v>
      </c>
      <c r="K33" s="26">
        <f>VLOOKUP(B33,'[4]현황(24년)'!$C$5:$D$245,2,0)</f>
        <v>1023</v>
      </c>
      <c r="L33" s="26">
        <f>VLOOKUP(B33,'[5]현황(25년)'!$C$5:$D$233,2,0)</f>
        <v>624</v>
      </c>
      <c r="M33" s="26">
        <f>VLOOKUP(B33,'[6]현황(26년)'!$C$5:$D$228,2,0)</f>
        <v>392</v>
      </c>
    </row>
    <row r="34" spans="1:13" s="1" customFormat="1">
      <c r="A34" s="27"/>
      <c r="B34" s="11" t="s">
        <v>54</v>
      </c>
      <c r="C34" s="11" t="s">
        <v>55</v>
      </c>
      <c r="D34" s="10" t="s">
        <v>501</v>
      </c>
      <c r="E34" s="10">
        <v>2018</v>
      </c>
      <c r="F34" s="11"/>
      <c r="G34" s="11">
        <v>12</v>
      </c>
      <c r="H34" s="26">
        <f>VLOOKUP(B34,'[1]현황(21년)'!$D$5:$E$275,2,0)</f>
        <v>1270</v>
      </c>
      <c r="I34" s="26">
        <f>VLOOKUP(B34,'[2]현황(22년)'!$D$5:$E$275,2,0)</f>
        <v>844</v>
      </c>
      <c r="J34" s="26">
        <f>VLOOKUP(B34,'[3]현황(23년)'!$C$5:$D$264,2,0)</f>
        <v>768</v>
      </c>
      <c r="K34" s="26">
        <f>VLOOKUP(B34,'[4]현황(24년)'!$C$5:$D$245,2,0)</f>
        <v>829</v>
      </c>
      <c r="L34" s="26">
        <f>VLOOKUP(B34,'[5]현황(25년)'!$C$5:$D$233,2,0)</f>
        <v>673</v>
      </c>
      <c r="M34" s="26">
        <f>VLOOKUP(B34,'[6]현황(26년)'!$C$5:$D$228,2,0)</f>
        <v>300</v>
      </c>
    </row>
    <row r="35" spans="1:13" s="1" customFormat="1">
      <c r="A35" s="27" t="s">
        <v>56</v>
      </c>
      <c r="B35" s="11" t="s">
        <v>57</v>
      </c>
      <c r="C35" s="11" t="s">
        <v>58</v>
      </c>
      <c r="D35" s="10" t="s">
        <v>501</v>
      </c>
      <c r="E35" s="10">
        <v>2019</v>
      </c>
      <c r="F35" s="11"/>
      <c r="G35" s="11">
        <v>12</v>
      </c>
      <c r="H35" s="26">
        <f>VLOOKUP(B35,'[1]현황(21년)'!$D$5:$E$275,2,0)</f>
        <v>1311</v>
      </c>
      <c r="I35" s="26">
        <f>VLOOKUP(B35,'[2]현황(22년)'!$D$5:$E$275,2,0)</f>
        <v>770</v>
      </c>
      <c r="J35" s="26">
        <f>VLOOKUP(B35,'[3]현황(23년)'!$C$5:$D$264,2,0)</f>
        <v>442</v>
      </c>
      <c r="K35" s="26">
        <f>VLOOKUP(B35,'[4]현황(24년)'!$C$5:$D$245,2,0)</f>
        <v>503</v>
      </c>
      <c r="L35" s="26">
        <f>VLOOKUP(B35,'[5]현황(25년)'!$C$5:$D$233,2,0)</f>
        <v>744</v>
      </c>
      <c r="M35" s="26">
        <f>VLOOKUP(B35,'[6]현황(26년)'!$C$5:$D$228,2,0)</f>
        <v>303</v>
      </c>
    </row>
    <row r="36" spans="1:13" s="1" customFormat="1">
      <c r="A36" s="27"/>
      <c r="B36" s="11" t="s">
        <v>59</v>
      </c>
      <c r="C36" s="11" t="s">
        <v>60</v>
      </c>
      <c r="D36" s="10" t="s">
        <v>501</v>
      </c>
      <c r="E36" s="10">
        <v>2021</v>
      </c>
      <c r="F36" s="11"/>
      <c r="G36" s="11">
        <v>19</v>
      </c>
      <c r="H36" s="26">
        <v>47</v>
      </c>
      <c r="I36" s="26">
        <f>VLOOKUP(B36,'[2]현황(22년)'!$D$5:$E$275,2,0)</f>
        <v>167</v>
      </c>
      <c r="J36" s="26">
        <f>VLOOKUP(B36,'[3]현황(23년)'!$C$5:$D$264,2,0)</f>
        <v>1011</v>
      </c>
      <c r="K36" s="26">
        <f>VLOOKUP(B36,'[4]현황(24년)'!$C$5:$D$245,2,0)</f>
        <v>696</v>
      </c>
      <c r="L36" s="26">
        <f>VLOOKUP(B36,'[5]현황(25년)'!$C$5:$D$233,2,0)</f>
        <v>2165</v>
      </c>
      <c r="M36" s="26">
        <f>VLOOKUP(B36,'[6]현황(26년)'!$C$5:$D$228,2,0)</f>
        <v>975</v>
      </c>
    </row>
    <row r="37" spans="1:13" s="1" customFormat="1">
      <c r="A37" s="27"/>
      <c r="B37" s="11" t="s">
        <v>506</v>
      </c>
      <c r="C37" s="11" t="s">
        <v>61</v>
      </c>
      <c r="D37" s="10" t="s">
        <v>508</v>
      </c>
      <c r="E37" s="10">
        <v>2022</v>
      </c>
      <c r="F37" s="11"/>
      <c r="G37" s="11">
        <v>12</v>
      </c>
      <c r="H37" s="26" t="s">
        <v>585</v>
      </c>
      <c r="I37" s="26">
        <f>VLOOKUP(B37,'[2]현황(22년)'!$D$5:$E$275,2,0)</f>
        <v>99</v>
      </c>
      <c r="J37" s="26">
        <f>VLOOKUP(B37,'[3]현황(23년)'!$C$5:$D$264,2,0)</f>
        <v>375</v>
      </c>
      <c r="K37" s="26">
        <f>VLOOKUP(B37,'[4]현황(24년)'!$C$5:$D$245,2,0)</f>
        <v>700</v>
      </c>
      <c r="L37" s="26">
        <f>VLOOKUP(B37,'[5]현황(25년)'!$C$5:$D$233,2,0)</f>
        <v>1093</v>
      </c>
      <c r="M37" s="26">
        <f>VLOOKUP(B37,'[6]현황(26년)'!$C$5:$D$228,2,0)</f>
        <v>645</v>
      </c>
    </row>
    <row r="38" spans="1:13" s="1" customFormat="1">
      <c r="A38" s="27"/>
      <c r="B38" s="11" t="s">
        <v>507</v>
      </c>
      <c r="C38" s="11" t="s">
        <v>62</v>
      </c>
      <c r="D38" s="10" t="s">
        <v>508</v>
      </c>
      <c r="E38" s="10" t="s">
        <v>566</v>
      </c>
      <c r="F38" s="11"/>
      <c r="G38" s="11">
        <v>19</v>
      </c>
      <c r="H38" s="26">
        <f>VLOOKUP(B38,'[1]현황(21년)'!$D$5:$E$275,2,0)</f>
        <v>697</v>
      </c>
      <c r="I38" s="26">
        <f>VLOOKUP(B38,'[2]현황(22년)'!$D$5:$E$275,2,0)</f>
        <v>1054</v>
      </c>
      <c r="J38" s="26">
        <f>VLOOKUP(B38,'[3]현황(23년)'!$C$5:$D$264,2,0)</f>
        <v>2047</v>
      </c>
      <c r="K38" s="26">
        <f>VLOOKUP(B38,'[4]현황(24년)'!$C$5:$D$245,2,0)</f>
        <v>812</v>
      </c>
      <c r="L38" s="26">
        <f>VLOOKUP(B38,'[5]현황(25년)'!$C$5:$D$233,2,0)</f>
        <v>701</v>
      </c>
      <c r="M38" s="26">
        <f>VLOOKUP(B38,'[6]현황(26년)'!$C$5:$D$228,2,0)</f>
        <v>1208</v>
      </c>
    </row>
    <row r="39" spans="1:13" s="1" customFormat="1">
      <c r="A39" s="27"/>
      <c r="B39" s="11" t="s">
        <v>63</v>
      </c>
      <c r="C39" s="11" t="s">
        <v>64</v>
      </c>
      <c r="D39" s="10" t="s">
        <v>487</v>
      </c>
      <c r="E39" s="10">
        <v>2017</v>
      </c>
      <c r="F39" s="11">
        <v>2023</v>
      </c>
      <c r="G39" s="11">
        <v>19</v>
      </c>
      <c r="H39" s="26">
        <f>VLOOKUP(B39,'[1]현황(21년)'!$D$5:$E$275,2,0)</f>
        <v>1264</v>
      </c>
      <c r="I39" s="26">
        <f>VLOOKUP(B39,'[2]현황(22년)'!$D$5:$E$275,2,0)</f>
        <v>1127</v>
      </c>
      <c r="J39" s="26" t="s">
        <v>585</v>
      </c>
      <c r="K39" s="26" t="s">
        <v>585</v>
      </c>
      <c r="L39" s="26" t="s">
        <v>585</v>
      </c>
      <c r="M39" s="26" t="s">
        <v>585</v>
      </c>
    </row>
    <row r="40" spans="1:13" s="1" customFormat="1">
      <c r="A40" s="27"/>
      <c r="B40" s="11" t="s">
        <v>65</v>
      </c>
      <c r="C40" s="11" t="s">
        <v>66</v>
      </c>
      <c r="D40" s="10" t="s">
        <v>501</v>
      </c>
      <c r="E40" s="10">
        <v>2017</v>
      </c>
      <c r="F40" s="11"/>
      <c r="G40" s="11">
        <v>19</v>
      </c>
      <c r="H40" s="26">
        <f>VLOOKUP(B40,'[1]현황(21년)'!$D$5:$E$275,2,0)</f>
        <v>2285</v>
      </c>
      <c r="I40" s="26">
        <f>VLOOKUP(B40,'[2]현황(22년)'!$D$5:$E$275,2,0)</f>
        <v>2404</v>
      </c>
      <c r="J40" s="26">
        <f>VLOOKUP(B40,'[3]현황(23년)'!$C$5:$D$264,2,0)</f>
        <v>2089</v>
      </c>
      <c r="K40" s="26">
        <f>VLOOKUP(B40,'[4]현황(24년)'!$C$5:$D$245,2,0)</f>
        <v>1996</v>
      </c>
      <c r="L40" s="26">
        <f>VLOOKUP(B40,'[5]현황(25년)'!$C$5:$D$233,2,0)</f>
        <v>2370</v>
      </c>
      <c r="M40" s="26">
        <f>VLOOKUP(B40,'[6]현황(26년)'!$C$5:$D$228,2,0)</f>
        <v>1196</v>
      </c>
    </row>
    <row r="41" spans="1:13" s="1" customFormat="1">
      <c r="A41" s="27"/>
      <c r="B41" s="11" t="s">
        <v>67</v>
      </c>
      <c r="C41" s="11" t="s">
        <v>68</v>
      </c>
      <c r="D41" s="10" t="s">
        <v>501</v>
      </c>
      <c r="E41" s="10">
        <v>2016</v>
      </c>
      <c r="F41" s="11"/>
      <c r="G41" s="11">
        <v>19</v>
      </c>
      <c r="H41" s="26">
        <f>VLOOKUP(B41,'[1]현황(21년)'!$D$5:$E$275,2,0)</f>
        <v>3352</v>
      </c>
      <c r="I41" s="26">
        <f>VLOOKUP(B41,'[2]현황(22년)'!$D$5:$E$275,2,0)</f>
        <v>3418</v>
      </c>
      <c r="J41" s="26">
        <f>VLOOKUP(B41,'[3]현황(23년)'!$C$5:$D$264,2,0)</f>
        <v>3103</v>
      </c>
      <c r="K41" s="26">
        <f>VLOOKUP(B41,'[4]현황(24년)'!$C$5:$D$245,2,0)</f>
        <v>2956</v>
      </c>
      <c r="L41" s="26">
        <f>VLOOKUP(B41,'[5]현황(25년)'!$C$5:$D$233,2,0)</f>
        <v>2301</v>
      </c>
      <c r="M41" s="26">
        <f>VLOOKUP(B41,'[6]현황(26년)'!$C$5:$D$228,2,0)</f>
        <v>1010</v>
      </c>
    </row>
    <row r="42" spans="1:13" s="1" customFormat="1">
      <c r="A42" s="27"/>
      <c r="B42" s="11" t="s">
        <v>69</v>
      </c>
      <c r="C42" s="11" t="s">
        <v>70</v>
      </c>
      <c r="D42" s="10" t="s">
        <v>501</v>
      </c>
      <c r="E42" s="10">
        <v>2016</v>
      </c>
      <c r="F42" s="11"/>
      <c r="G42" s="11">
        <v>19</v>
      </c>
      <c r="H42" s="26">
        <f>VLOOKUP(B42,'[1]현황(21년)'!$D$5:$E$275,2,0)</f>
        <v>3115</v>
      </c>
      <c r="I42" s="26">
        <f>VLOOKUP(B42,'[2]현황(22년)'!$D$5:$E$275,2,0)</f>
        <v>2727</v>
      </c>
      <c r="J42" s="26">
        <f>VLOOKUP(B42,'[3]현황(23년)'!$C$5:$D$264,2,0)</f>
        <v>2421</v>
      </c>
      <c r="K42" s="26">
        <f>VLOOKUP(B42,'[4]현황(24년)'!$C$5:$D$245,2,0)</f>
        <v>2137</v>
      </c>
      <c r="L42" s="26">
        <f>VLOOKUP(B42,'[5]현황(25년)'!$C$5:$D$233,2,0)</f>
        <v>1575</v>
      </c>
      <c r="M42" s="26">
        <f>VLOOKUP(B42,'[6]현황(26년)'!$C$5:$D$228,2,0)</f>
        <v>984</v>
      </c>
    </row>
    <row r="43" spans="1:13" s="1" customFormat="1">
      <c r="A43" s="27"/>
      <c r="B43" s="11" t="s">
        <v>71</v>
      </c>
      <c r="C43" s="11" t="s">
        <v>72</v>
      </c>
      <c r="D43" s="10" t="s">
        <v>501</v>
      </c>
      <c r="E43" s="10">
        <v>2016</v>
      </c>
      <c r="F43" s="11"/>
      <c r="G43" s="11">
        <v>19</v>
      </c>
      <c r="H43" s="26">
        <f>VLOOKUP(B43,'[1]현황(21년)'!$D$5:$E$275,2,0)</f>
        <v>2213</v>
      </c>
      <c r="I43" s="26">
        <f>VLOOKUP(B43,'[2]현황(22년)'!$D$5:$E$275,2,0)</f>
        <v>2195</v>
      </c>
      <c r="J43" s="26">
        <f>VLOOKUP(B43,'[3]현황(23년)'!$C$5:$D$264,2,0)</f>
        <v>2400</v>
      </c>
      <c r="K43" s="26">
        <f>VLOOKUP(B43,'[4]현황(24년)'!$C$5:$D$245,2,0)</f>
        <v>2396</v>
      </c>
      <c r="L43" s="26">
        <f>VLOOKUP(B43,'[5]현황(25년)'!$C$5:$D$233,2,0)</f>
        <v>1943</v>
      </c>
      <c r="M43" s="26">
        <f>VLOOKUP(B43,'[6]현황(26년)'!$C$5:$D$228,2,0)</f>
        <v>815</v>
      </c>
    </row>
    <row r="44" spans="1:13" s="1" customFormat="1">
      <c r="A44" s="27"/>
      <c r="B44" s="11" t="s">
        <v>73</v>
      </c>
      <c r="C44" s="11" t="s">
        <v>74</v>
      </c>
      <c r="D44" s="10" t="s">
        <v>501</v>
      </c>
      <c r="E44" s="10">
        <v>2015</v>
      </c>
      <c r="F44" s="11"/>
      <c r="G44" s="11">
        <v>19</v>
      </c>
      <c r="H44" s="26">
        <f>VLOOKUP(B44,'[1]현황(21년)'!$D$5:$E$275,2,0)</f>
        <v>2471</v>
      </c>
      <c r="I44" s="26">
        <f>VLOOKUP(B44,'[2]현황(22년)'!$D$5:$E$275,2,0)</f>
        <v>2535</v>
      </c>
      <c r="J44" s="26">
        <f>VLOOKUP(B44,'[3]현황(23년)'!$C$5:$D$264,2,0)</f>
        <v>2062</v>
      </c>
      <c r="K44" s="26">
        <f>VLOOKUP(B44,'[4]현황(24년)'!$C$5:$D$245,2,0)</f>
        <v>2058</v>
      </c>
      <c r="L44" s="26">
        <f>VLOOKUP(B44,'[5]현황(25년)'!$C$5:$D$233,2,0)</f>
        <v>1803</v>
      </c>
      <c r="M44" s="26">
        <f>VLOOKUP(B44,'[6]현황(26년)'!$C$5:$D$228,2,0)</f>
        <v>1021</v>
      </c>
    </row>
    <row r="45" spans="1:13" s="1" customFormat="1">
      <c r="A45" s="27"/>
      <c r="B45" s="11" t="s">
        <v>75</v>
      </c>
      <c r="C45" s="11" t="s">
        <v>76</v>
      </c>
      <c r="D45" s="10" t="s">
        <v>501</v>
      </c>
      <c r="E45" s="10">
        <v>2014</v>
      </c>
      <c r="F45" s="11"/>
      <c r="G45" s="11">
        <v>19</v>
      </c>
      <c r="H45" s="26">
        <f>VLOOKUP(B45,'[1]현황(21년)'!$D$5:$E$275,2,0)</f>
        <v>2192</v>
      </c>
      <c r="I45" s="26">
        <f>VLOOKUP(B45,'[2]현황(22년)'!$D$5:$E$275,2,0)</f>
        <v>3346</v>
      </c>
      <c r="J45" s="26">
        <f>VLOOKUP(B45,'[3]현황(23년)'!$C$5:$D$264,2,0)</f>
        <v>2569</v>
      </c>
      <c r="K45" s="26">
        <f>VLOOKUP(B45,'[4]현황(24년)'!$C$5:$D$245,2,0)</f>
        <v>2565</v>
      </c>
      <c r="L45" s="26">
        <f>VLOOKUP(B45,'[5]현황(25년)'!$C$5:$D$233,2,0)</f>
        <v>2259</v>
      </c>
      <c r="M45" s="26">
        <f>VLOOKUP(B45,'[6]현황(26년)'!$C$5:$D$228,2,0)</f>
        <v>737</v>
      </c>
    </row>
    <row r="46" spans="1:13" s="1" customFormat="1">
      <c r="A46" s="27"/>
      <c r="B46" s="11" t="s">
        <v>77</v>
      </c>
      <c r="C46" s="11" t="s">
        <v>78</v>
      </c>
      <c r="D46" s="10" t="s">
        <v>501</v>
      </c>
      <c r="E46" s="10">
        <v>2014</v>
      </c>
      <c r="F46" s="11"/>
      <c r="G46" s="11">
        <v>26</v>
      </c>
      <c r="H46" s="26">
        <f>VLOOKUP(B46,'[1]현황(21년)'!$D$5:$E$275,2,0)</f>
        <v>4185</v>
      </c>
      <c r="I46" s="26">
        <f>VLOOKUP(B46,'[2]현황(22년)'!$D$5:$E$275,2,0)</f>
        <v>3119</v>
      </c>
      <c r="J46" s="26">
        <f>VLOOKUP(B46,'[3]현황(23년)'!$C$5:$D$264,2,0)</f>
        <v>2759</v>
      </c>
      <c r="K46" s="26">
        <f>VLOOKUP(B46,'[4]현황(24년)'!$C$5:$D$245,2,0)</f>
        <v>2669</v>
      </c>
      <c r="L46" s="26">
        <f>VLOOKUP(B46,'[5]현황(25년)'!$C$5:$D$233,2,0)</f>
        <v>1450</v>
      </c>
      <c r="M46" s="26">
        <f>VLOOKUP(B46,'[6]현황(26년)'!$C$5:$D$228,2,0)</f>
        <v>833</v>
      </c>
    </row>
    <row r="47" spans="1:13" s="1" customFormat="1">
      <c r="A47" s="27"/>
      <c r="B47" s="11" t="s">
        <v>79</v>
      </c>
      <c r="C47" s="11" t="s">
        <v>80</v>
      </c>
      <c r="D47" s="10" t="s">
        <v>501</v>
      </c>
      <c r="E47" s="10">
        <v>2018</v>
      </c>
      <c r="F47" s="11"/>
      <c r="G47" s="11">
        <v>12</v>
      </c>
      <c r="H47" s="26">
        <f>VLOOKUP(B47,'[1]현황(21년)'!$D$5:$E$275,2,0)</f>
        <v>1893</v>
      </c>
      <c r="I47" s="26">
        <f>VLOOKUP(B47,'[2]현황(22년)'!$D$5:$E$275,2,0)</f>
        <v>1440</v>
      </c>
      <c r="J47" s="26">
        <f>VLOOKUP(B47,'[3]현황(23년)'!$C$5:$D$264,2,0)</f>
        <v>1697</v>
      </c>
      <c r="K47" s="26">
        <f>VLOOKUP(B47,'[4]현황(24년)'!$C$5:$D$245,2,0)</f>
        <v>1223</v>
      </c>
      <c r="L47" s="26">
        <f>VLOOKUP(B47,'[5]현황(25년)'!$C$5:$D$233,2,0)</f>
        <v>1175</v>
      </c>
      <c r="M47" s="26">
        <f>VLOOKUP(B47,'[6]현황(26년)'!$C$5:$D$228,2,0)</f>
        <v>677</v>
      </c>
    </row>
    <row r="48" spans="1:13" s="1" customFormat="1">
      <c r="A48" s="27"/>
      <c r="B48" s="11" t="s">
        <v>529</v>
      </c>
      <c r="C48" s="11" t="s">
        <v>547</v>
      </c>
      <c r="D48" s="10" t="s">
        <v>487</v>
      </c>
      <c r="E48" s="10">
        <v>2019</v>
      </c>
      <c r="F48" s="11">
        <v>2023</v>
      </c>
      <c r="G48" s="11"/>
      <c r="H48" s="26">
        <f>VLOOKUP(B48,'[1]현황(21년)'!$D$5:$E$275,2,0)</f>
        <v>269</v>
      </c>
      <c r="I48" s="26">
        <f>VLOOKUP(B48,'[2]현황(22년)'!$D$5:$E$275,2,0)</f>
        <v>98.00277777777778</v>
      </c>
      <c r="J48" s="26" t="s">
        <v>585</v>
      </c>
      <c r="K48" s="26" t="s">
        <v>585</v>
      </c>
      <c r="L48" s="26" t="s">
        <v>585</v>
      </c>
      <c r="M48" s="26" t="s">
        <v>585</v>
      </c>
    </row>
    <row r="49" spans="1:13" s="1" customFormat="1">
      <c r="A49" s="27"/>
      <c r="B49" s="11" t="s">
        <v>81</v>
      </c>
      <c r="C49" s="11" t="s">
        <v>82</v>
      </c>
      <c r="D49" s="10" t="s">
        <v>501</v>
      </c>
      <c r="E49" s="10">
        <v>2018</v>
      </c>
      <c r="F49" s="11"/>
      <c r="G49" s="11">
        <v>12</v>
      </c>
      <c r="H49" s="26">
        <f>VLOOKUP(B49,'[1]현황(21년)'!$D$5:$E$275,2,0)</f>
        <v>1704</v>
      </c>
      <c r="I49" s="26">
        <f>VLOOKUP(B49,'[2]현황(22년)'!$D$5:$E$275,2,0)</f>
        <v>1720</v>
      </c>
      <c r="J49" s="26">
        <f>VLOOKUP(B49,'[3]현황(23년)'!$C$5:$D$264,2,0)</f>
        <v>1631</v>
      </c>
      <c r="K49" s="26">
        <f>VLOOKUP(B49,'[4]현황(24년)'!$C$5:$D$245,2,0)</f>
        <v>2024</v>
      </c>
      <c r="L49" s="26">
        <f>VLOOKUP(B49,'[5]현황(25년)'!$C$5:$D$233,2,0)</f>
        <v>1517</v>
      </c>
      <c r="M49" s="26">
        <f>VLOOKUP(B49,'[6]현황(26년)'!$C$5:$D$228,2,0)</f>
        <v>465</v>
      </c>
    </row>
    <row r="50" spans="1:13" s="1" customFormat="1" ht="15.75" customHeight="1">
      <c r="A50" s="27" t="s">
        <v>83</v>
      </c>
      <c r="B50" s="11" t="s">
        <v>84</v>
      </c>
      <c r="C50" s="11" t="s">
        <v>85</v>
      </c>
      <c r="D50" s="10" t="s">
        <v>501</v>
      </c>
      <c r="E50" s="10">
        <v>2019</v>
      </c>
      <c r="F50" s="11"/>
      <c r="G50" s="11">
        <v>19</v>
      </c>
      <c r="H50" s="26">
        <f>VLOOKUP(B50,'[1]현황(21년)'!$D$5:$E$275,2,0)</f>
        <v>449</v>
      </c>
      <c r="I50" s="26">
        <f>VLOOKUP(B50,'[2]현황(22년)'!$D$5:$E$275,2,0)</f>
        <v>395</v>
      </c>
      <c r="J50" s="26">
        <f>VLOOKUP(B50,'[3]현황(23년)'!$C$5:$D$264,2,0)</f>
        <v>821</v>
      </c>
      <c r="K50" s="26">
        <f>VLOOKUP(B50,'[4]현황(24년)'!$C$5:$D$245,2,0)</f>
        <v>924</v>
      </c>
      <c r="L50" s="26">
        <f>VLOOKUP(B50,'[5]현황(25년)'!$C$5:$D$233,2,0)</f>
        <v>856</v>
      </c>
      <c r="M50" s="26">
        <f>VLOOKUP(B50,'[6]현황(26년)'!$C$5:$D$228,2,0)</f>
        <v>562</v>
      </c>
    </row>
    <row r="51" spans="1:13" s="1" customFormat="1">
      <c r="A51" s="27"/>
      <c r="B51" s="11" t="s">
        <v>86</v>
      </c>
      <c r="C51" s="11" t="s">
        <v>87</v>
      </c>
      <c r="D51" s="10" t="s">
        <v>508</v>
      </c>
      <c r="E51" s="10">
        <v>2022</v>
      </c>
      <c r="F51" s="11"/>
      <c r="G51" s="11">
        <v>12</v>
      </c>
      <c r="H51" s="26" t="s">
        <v>585</v>
      </c>
      <c r="I51" s="26">
        <f>VLOOKUP(B51,'[2]현황(22년)'!$D$5:$E$275,2,0)</f>
        <v>125</v>
      </c>
      <c r="J51" s="26">
        <f>VLOOKUP(B51,'[3]현황(23년)'!$C$5:$D$264,2,0)</f>
        <v>337</v>
      </c>
      <c r="K51" s="26">
        <f>VLOOKUP(B51,'[4]현황(24년)'!$C$5:$D$245,2,0)</f>
        <v>637</v>
      </c>
      <c r="L51" s="26">
        <f>VLOOKUP(B51,'[5]현황(25년)'!$C$5:$D$233,2,0)</f>
        <v>853</v>
      </c>
      <c r="M51" s="26">
        <f>VLOOKUP(B51,'[6]현황(26년)'!$C$5:$D$228,2,0)</f>
        <v>319</v>
      </c>
    </row>
    <row r="52" spans="1:13" s="1" customFormat="1">
      <c r="A52" s="27"/>
      <c r="B52" s="11" t="s">
        <v>88</v>
      </c>
      <c r="C52" s="11" t="s">
        <v>89</v>
      </c>
      <c r="D52" s="10" t="s">
        <v>486</v>
      </c>
      <c r="E52" s="10">
        <v>2019</v>
      </c>
      <c r="F52" s="11">
        <v>2026</v>
      </c>
      <c r="G52" s="11">
        <v>12</v>
      </c>
      <c r="H52" s="26">
        <f>VLOOKUP(B52,'[1]현황(21년)'!$D$5:$E$275,2,0)</f>
        <v>2091</v>
      </c>
      <c r="I52" s="26">
        <f>VLOOKUP(B52,'[2]현황(22년)'!$D$5:$E$275,2,0)</f>
        <v>1872.4833333333333</v>
      </c>
      <c r="J52" s="26">
        <f>VLOOKUP(B52,'[3]현황(23년)'!$C$5:$D$264,2,0)</f>
        <v>1886</v>
      </c>
      <c r="K52" s="26">
        <f>VLOOKUP(B52,'[4]현황(24년)'!$C$5:$D$245,2,0)</f>
        <v>2712</v>
      </c>
      <c r="L52" s="26">
        <f>VLOOKUP(B52,'[5]현황(25년)'!$C$5:$D$233,2,0)</f>
        <v>1149</v>
      </c>
      <c r="M52" s="26" t="s">
        <v>585</v>
      </c>
    </row>
    <row r="53" spans="1:13" s="1" customFormat="1">
      <c r="A53" s="27"/>
      <c r="B53" s="11" t="s">
        <v>492</v>
      </c>
      <c r="C53" s="11" t="s">
        <v>90</v>
      </c>
      <c r="D53" s="10" t="s">
        <v>487</v>
      </c>
      <c r="E53" s="10">
        <v>2017</v>
      </c>
      <c r="F53" s="11">
        <v>2024</v>
      </c>
      <c r="G53" s="11">
        <v>19</v>
      </c>
      <c r="H53" s="26">
        <f>VLOOKUP(B53,'[1]현황(21년)'!$D$5:$E$275,2,0)</f>
        <v>2293</v>
      </c>
      <c r="I53" s="26">
        <f>VLOOKUP(B53,'[2]현황(22년)'!$D$5:$E$275,2,0)</f>
        <v>2571</v>
      </c>
      <c r="J53" s="26">
        <f>VLOOKUP(B53,'[3]현황(23년)'!$C$5:$D$264,2,0)</f>
        <v>3006</v>
      </c>
      <c r="K53" s="26" t="s">
        <v>585</v>
      </c>
      <c r="L53" s="26" t="s">
        <v>585</v>
      </c>
      <c r="M53" s="26" t="s">
        <v>585</v>
      </c>
    </row>
    <row r="54" spans="1:13" s="1" customFormat="1">
      <c r="A54" s="27"/>
      <c r="B54" s="11" t="s">
        <v>91</v>
      </c>
      <c r="C54" s="11" t="s">
        <v>92</v>
      </c>
      <c r="D54" s="10" t="s">
        <v>501</v>
      </c>
      <c r="E54" s="10">
        <v>2017</v>
      </c>
      <c r="F54" s="11"/>
      <c r="G54" s="11">
        <v>19</v>
      </c>
      <c r="H54" s="26">
        <f>VLOOKUP(B54,'[1]현황(21년)'!$D$5:$E$275,2,0)</f>
        <v>2658</v>
      </c>
      <c r="I54" s="26">
        <f>VLOOKUP(B54,'[2]현황(22년)'!$D$5:$E$275,2,0)</f>
        <v>2650</v>
      </c>
      <c r="J54" s="26">
        <f>VLOOKUP(B54,'[3]현황(23년)'!$C$5:$D$264,2,0)</f>
        <v>2703</v>
      </c>
      <c r="K54" s="26">
        <f>VLOOKUP(B54,'[4]현황(24년)'!$C$5:$D$245,2,0)</f>
        <v>2742</v>
      </c>
      <c r="L54" s="26">
        <f>VLOOKUP(B54,'[5]현황(25년)'!$C$5:$D$233,2,0)</f>
        <v>2030</v>
      </c>
      <c r="M54" s="26">
        <f>VLOOKUP(B54,'[6]현황(26년)'!$C$5:$D$228,2,0)</f>
        <v>1108</v>
      </c>
    </row>
    <row r="55" spans="1:13" s="1" customFormat="1">
      <c r="A55" s="27"/>
      <c r="B55" s="11" t="s">
        <v>93</v>
      </c>
      <c r="C55" s="11" t="s">
        <v>94</v>
      </c>
      <c r="D55" s="10" t="s">
        <v>501</v>
      </c>
      <c r="E55" s="10">
        <v>2016</v>
      </c>
      <c r="F55" s="11"/>
      <c r="G55" s="11">
        <v>19</v>
      </c>
      <c r="H55" s="26">
        <f>VLOOKUP(B55,'[1]현황(21년)'!$D$5:$E$275,2,0)</f>
        <v>2363</v>
      </c>
      <c r="I55" s="26">
        <f>VLOOKUP(B55,'[2]현황(22년)'!$D$5:$E$275,2,0)</f>
        <v>1787</v>
      </c>
      <c r="J55" s="26">
        <f>VLOOKUP(B55,'[3]현황(23년)'!$C$5:$D$264,2,0)</f>
        <v>3092</v>
      </c>
      <c r="K55" s="26">
        <f>VLOOKUP(B55,'[4]현황(24년)'!$C$5:$D$245,2,0)</f>
        <v>3812</v>
      </c>
      <c r="L55" s="26">
        <f>VLOOKUP(B55,'[5]현황(25년)'!$C$5:$D$233,2,0)</f>
        <v>4195</v>
      </c>
      <c r="M55" s="26">
        <f>VLOOKUP(B55,'[6]현황(26년)'!$C$5:$D$228,2,0)</f>
        <v>1816</v>
      </c>
    </row>
    <row r="56" spans="1:13" s="1" customFormat="1">
      <c r="A56" s="27"/>
      <c r="B56" s="11" t="s">
        <v>530</v>
      </c>
      <c r="C56" s="11" t="s">
        <v>548</v>
      </c>
      <c r="D56" s="10" t="s">
        <v>487</v>
      </c>
      <c r="E56" s="10">
        <v>2016</v>
      </c>
      <c r="F56" s="11">
        <v>2023</v>
      </c>
      <c r="G56" s="11">
        <v>19</v>
      </c>
      <c r="H56" s="26">
        <f>VLOOKUP(B56,'[1]현황(21년)'!$D$5:$E$275,2,0)</f>
        <v>1109</v>
      </c>
      <c r="I56" s="26">
        <f>VLOOKUP(B56,'[2]현황(22년)'!$D$5:$E$275,2,0)</f>
        <v>885</v>
      </c>
      <c r="J56" s="26" t="s">
        <v>585</v>
      </c>
      <c r="K56" s="26" t="s">
        <v>585</v>
      </c>
      <c r="L56" s="26" t="s">
        <v>585</v>
      </c>
      <c r="M56" s="26" t="s">
        <v>585</v>
      </c>
    </row>
    <row r="57" spans="1:13" s="1" customFormat="1">
      <c r="A57" s="27"/>
      <c r="B57" s="11" t="s">
        <v>95</v>
      </c>
      <c r="C57" s="11" t="s">
        <v>96</v>
      </c>
      <c r="D57" s="10" t="s">
        <v>501</v>
      </c>
      <c r="E57" s="10">
        <v>2016</v>
      </c>
      <c r="F57" s="11"/>
      <c r="G57" s="11">
        <v>12</v>
      </c>
      <c r="H57" s="26">
        <f>VLOOKUP(B57,'[1]현황(21년)'!$D$5:$E$275,2,0)</f>
        <v>1867</v>
      </c>
      <c r="I57" s="26">
        <f>VLOOKUP(B57,'[2]현황(22년)'!$D$5:$E$275,2,0)</f>
        <v>2035</v>
      </c>
      <c r="J57" s="26">
        <f>VLOOKUP(B57,'[3]현황(23년)'!$C$5:$D$264,2,0)</f>
        <v>1328</v>
      </c>
      <c r="K57" s="26">
        <f>VLOOKUP(B57,'[4]현황(24년)'!$C$5:$D$245,2,0)</f>
        <v>1502</v>
      </c>
      <c r="L57" s="26">
        <f>VLOOKUP(B57,'[5]현황(25년)'!$C$5:$D$233,2,0)</f>
        <v>1397</v>
      </c>
      <c r="M57" s="26">
        <f>VLOOKUP(B57,'[6]현황(26년)'!$C$5:$D$228,2,0)</f>
        <v>973</v>
      </c>
    </row>
    <row r="58" spans="1:13" s="1" customFormat="1">
      <c r="A58" s="27"/>
      <c r="B58" s="11" t="s">
        <v>97</v>
      </c>
      <c r="C58" s="11" t="s">
        <v>98</v>
      </c>
      <c r="D58" s="10" t="s">
        <v>501</v>
      </c>
      <c r="E58" s="10">
        <v>2015</v>
      </c>
      <c r="F58" s="11"/>
      <c r="G58" s="11">
        <v>19</v>
      </c>
      <c r="H58" s="26">
        <f>VLOOKUP(B58,'[1]현황(21년)'!$D$5:$E$275,2,0)</f>
        <v>3268</v>
      </c>
      <c r="I58" s="26">
        <f>VLOOKUP(B58,'[2]현황(22년)'!$D$5:$E$275,2,0)</f>
        <v>2405</v>
      </c>
      <c r="J58" s="26">
        <f>VLOOKUP(B58,'[3]현황(23년)'!$C$5:$D$264,2,0)</f>
        <v>3407</v>
      </c>
      <c r="K58" s="26">
        <f>VLOOKUP(B58,'[4]현황(24년)'!$C$5:$D$245,2,0)</f>
        <v>2586</v>
      </c>
      <c r="L58" s="26">
        <f>VLOOKUP(B58,'[5]현황(25년)'!$C$5:$D$233,2,0)</f>
        <v>3229</v>
      </c>
      <c r="M58" s="26">
        <f>VLOOKUP(B58,'[6]현황(26년)'!$C$5:$D$228,2,0)</f>
        <v>1884</v>
      </c>
    </row>
    <row r="59" spans="1:13" s="1" customFormat="1">
      <c r="A59" s="27"/>
      <c r="B59" s="11" t="s">
        <v>99</v>
      </c>
      <c r="C59" s="11" t="s">
        <v>100</v>
      </c>
      <c r="D59" s="10" t="s">
        <v>501</v>
      </c>
      <c r="E59" s="10">
        <v>2013</v>
      </c>
      <c r="F59" s="11"/>
      <c r="G59" s="11">
        <v>19</v>
      </c>
      <c r="H59" s="26">
        <f>VLOOKUP(B59,'[1]현황(21년)'!$D$5:$E$275,2,0)</f>
        <v>2046</v>
      </c>
      <c r="I59" s="26">
        <f>VLOOKUP(B59,'[2]현황(22년)'!$D$5:$E$275,2,0)</f>
        <v>1331</v>
      </c>
      <c r="J59" s="26">
        <f>VLOOKUP(B59,'[3]현황(23년)'!$C$5:$D$264,2,0)</f>
        <v>1995</v>
      </c>
      <c r="K59" s="26">
        <f>VLOOKUP(B59,'[4]현황(24년)'!$C$5:$D$245,2,0)</f>
        <v>3176</v>
      </c>
      <c r="L59" s="26">
        <f>VLOOKUP(B59,'[5]현황(25년)'!$C$5:$D$233,2,0)</f>
        <v>916</v>
      </c>
      <c r="M59" s="26">
        <f>VLOOKUP(B59,'[6]현황(26년)'!$C$5:$D$228,2,0)</f>
        <v>602</v>
      </c>
    </row>
    <row r="60" spans="1:13" s="1" customFormat="1">
      <c r="A60" s="27"/>
      <c r="B60" s="11" t="s">
        <v>101</v>
      </c>
      <c r="C60" s="11" t="s">
        <v>102</v>
      </c>
      <c r="D60" s="10" t="s">
        <v>501</v>
      </c>
      <c r="E60" s="10">
        <v>2013</v>
      </c>
      <c r="F60" s="11"/>
      <c r="G60" s="11">
        <v>26</v>
      </c>
      <c r="H60" s="26">
        <f>VLOOKUP(B60,'[1]현황(21년)'!$D$5:$E$275,2,0)</f>
        <v>3899</v>
      </c>
      <c r="I60" s="26">
        <f>VLOOKUP(B60,'[2]현황(22년)'!$D$5:$E$275,2,0)</f>
        <v>3281</v>
      </c>
      <c r="J60" s="26">
        <f>VLOOKUP(B60,'[3]현황(23년)'!$C$5:$D$264,2,0)</f>
        <v>2778</v>
      </c>
      <c r="K60" s="26">
        <f>VLOOKUP(B60,'[4]현황(24년)'!$C$5:$D$245,2,0)</f>
        <v>2754</v>
      </c>
      <c r="L60" s="26">
        <f>VLOOKUP(B60,'[5]현황(25년)'!$C$5:$D$233,2,0)</f>
        <v>1889</v>
      </c>
      <c r="M60" s="26">
        <f>VLOOKUP(B60,'[6]현황(26년)'!$C$5:$D$228,2,0)</f>
        <v>974</v>
      </c>
    </row>
    <row r="61" spans="1:13" s="1" customFormat="1">
      <c r="A61" s="27"/>
      <c r="B61" s="11" t="s">
        <v>103</v>
      </c>
      <c r="C61" s="11" t="s">
        <v>104</v>
      </c>
      <c r="D61" s="10" t="s">
        <v>501</v>
      </c>
      <c r="E61" s="10">
        <v>2022</v>
      </c>
      <c r="F61" s="11"/>
      <c r="G61" s="11">
        <v>12</v>
      </c>
      <c r="H61" s="26" t="s">
        <v>585</v>
      </c>
      <c r="I61" s="26">
        <f>VLOOKUP(B61,'[2]현황(22년)'!$D$5:$E$275,2,0)</f>
        <v>393</v>
      </c>
      <c r="J61" s="26">
        <f>VLOOKUP(B61,'[3]현황(23년)'!$C$5:$D$264,2,0)</f>
        <v>252</v>
      </c>
      <c r="K61" s="26">
        <f>VLOOKUP(B61,'[4]현황(24년)'!$C$5:$D$245,2,0)</f>
        <v>412</v>
      </c>
      <c r="L61" s="26">
        <f>VLOOKUP(B61,'[5]현황(25년)'!$C$5:$D$233,2,0)</f>
        <v>970</v>
      </c>
      <c r="M61" s="26">
        <f>VLOOKUP(B61,'[6]현황(26년)'!$C$5:$D$228,2,0)</f>
        <v>1034</v>
      </c>
    </row>
    <row r="62" spans="1:13" s="1" customFormat="1">
      <c r="A62" s="27" t="s">
        <v>105</v>
      </c>
      <c r="B62" s="11" t="s">
        <v>493</v>
      </c>
      <c r="C62" s="11" t="s">
        <v>106</v>
      </c>
      <c r="D62" s="10" t="s">
        <v>487</v>
      </c>
      <c r="E62" s="10">
        <v>2021</v>
      </c>
      <c r="F62" s="11">
        <v>2024</v>
      </c>
      <c r="G62" s="11">
        <v>19</v>
      </c>
      <c r="H62" s="26">
        <v>6</v>
      </c>
      <c r="I62" s="26">
        <f>VLOOKUP(B62,'[2]현황(22년)'!$D$5:$E$275,2,0)</f>
        <v>645</v>
      </c>
      <c r="J62" s="26">
        <f>VLOOKUP(B62,'[3]현황(23년)'!$C$5:$D$264,2,0)</f>
        <v>1056</v>
      </c>
      <c r="K62" s="26" t="s">
        <v>585</v>
      </c>
      <c r="L62" s="26" t="s">
        <v>585</v>
      </c>
      <c r="M62" s="26" t="s">
        <v>585</v>
      </c>
    </row>
    <row r="63" spans="1:13" s="1" customFormat="1">
      <c r="A63" s="27"/>
      <c r="B63" s="11" t="s">
        <v>107</v>
      </c>
      <c r="C63" s="11" t="s">
        <v>108</v>
      </c>
      <c r="D63" s="10" t="s">
        <v>501</v>
      </c>
      <c r="E63" s="10">
        <v>2016</v>
      </c>
      <c r="F63" s="11"/>
      <c r="G63" s="11">
        <v>19</v>
      </c>
      <c r="H63" s="26">
        <f>VLOOKUP(B63,'[1]현황(21년)'!$D$5:$E$275,2,0)</f>
        <v>2618</v>
      </c>
      <c r="I63" s="26">
        <f>VLOOKUP(B63,'[2]현황(22년)'!$D$5:$E$275,2,0)</f>
        <v>2029</v>
      </c>
      <c r="J63" s="26">
        <f>VLOOKUP(B63,'[3]현황(23년)'!$C$5:$D$264,2,0)</f>
        <v>2187</v>
      </c>
      <c r="K63" s="26">
        <f>VLOOKUP(B63,'[4]현황(24년)'!$C$5:$D$245,2,0)</f>
        <v>2858</v>
      </c>
      <c r="L63" s="26">
        <f>VLOOKUP(B63,'[5]현황(25년)'!$C$5:$D$233,2,0)</f>
        <v>1709</v>
      </c>
      <c r="M63" s="26">
        <f>VLOOKUP(B63,'[6]현황(26년)'!$C$5:$D$228,2,0)</f>
        <v>779</v>
      </c>
    </row>
    <row r="64" spans="1:13" s="1" customFormat="1">
      <c r="A64" s="27"/>
      <c r="B64" s="11" t="s">
        <v>109</v>
      </c>
      <c r="C64" s="11" t="s">
        <v>110</v>
      </c>
      <c r="D64" s="10" t="s">
        <v>501</v>
      </c>
      <c r="E64" s="10">
        <v>2014</v>
      </c>
      <c r="F64" s="11"/>
      <c r="G64" s="11">
        <v>19</v>
      </c>
      <c r="H64" s="26">
        <f>VLOOKUP(B64,'[1]현황(21년)'!$D$5:$E$275,2,0)</f>
        <v>2442</v>
      </c>
      <c r="I64" s="26">
        <f>VLOOKUP(B64,'[2]현황(22년)'!$D$5:$E$275,2,0)</f>
        <v>2894</v>
      </c>
      <c r="J64" s="26">
        <f>VLOOKUP(B64,'[3]현황(23년)'!$C$5:$D$264,2,0)</f>
        <v>3200</v>
      </c>
      <c r="K64" s="26">
        <f>VLOOKUP(B64,'[4]현황(24년)'!$C$5:$D$245,2,0)</f>
        <v>1804</v>
      </c>
      <c r="L64" s="26">
        <f>VLOOKUP(B64,'[5]현황(25년)'!$C$5:$D$233,2,0)</f>
        <v>1970</v>
      </c>
      <c r="M64" s="26">
        <f>VLOOKUP(B64,'[6]현황(26년)'!$C$5:$D$228,2,0)</f>
        <v>957</v>
      </c>
    </row>
    <row r="65" spans="1:13" s="1" customFormat="1">
      <c r="A65" s="27"/>
      <c r="B65" s="11" t="s">
        <v>111</v>
      </c>
      <c r="C65" s="11" t="s">
        <v>112</v>
      </c>
      <c r="D65" s="10" t="s">
        <v>501</v>
      </c>
      <c r="E65" s="10">
        <v>2013</v>
      </c>
      <c r="F65" s="11"/>
      <c r="G65" s="11">
        <v>33</v>
      </c>
      <c r="H65" s="26">
        <f>VLOOKUP(B65,'[1]현황(21년)'!$D$5:$E$275,2,0)</f>
        <v>5495</v>
      </c>
      <c r="I65" s="26">
        <f>VLOOKUP(B65,'[2]현황(22년)'!$D$5:$E$275,2,0)</f>
        <v>6411</v>
      </c>
      <c r="J65" s="26">
        <f>VLOOKUP(B65,'[3]현황(23년)'!$C$5:$D$264,2,0)</f>
        <v>5778</v>
      </c>
      <c r="K65" s="26">
        <f>VLOOKUP(B65,'[4]현황(24년)'!$C$5:$D$245,2,0)</f>
        <v>7217</v>
      </c>
      <c r="L65" s="26">
        <f>VLOOKUP(B65,'[5]현황(25년)'!$C$5:$D$233,2,0)</f>
        <v>4838</v>
      </c>
      <c r="M65" s="26">
        <f>VLOOKUP(B65,'[6]현황(26년)'!$C$5:$D$228,2,0)</f>
        <v>2773</v>
      </c>
    </row>
    <row r="66" spans="1:13" s="1" customFormat="1">
      <c r="A66" s="27"/>
      <c r="B66" s="11" t="s">
        <v>113</v>
      </c>
      <c r="C66" s="11" t="s">
        <v>114</v>
      </c>
      <c r="D66" s="10" t="s">
        <v>501</v>
      </c>
      <c r="E66" s="10">
        <v>2023</v>
      </c>
      <c r="F66" s="11"/>
      <c r="G66" s="11">
        <v>19</v>
      </c>
      <c r="H66" s="26" t="s">
        <v>585</v>
      </c>
      <c r="I66" s="26" t="s">
        <v>585</v>
      </c>
      <c r="J66" s="26">
        <f>VLOOKUP(B66,'[3]현황(23년)'!$C$5:$D$264,2,0)</f>
        <v>1282</v>
      </c>
      <c r="K66" s="26">
        <f>VLOOKUP(B66,'[4]현황(24년)'!$C$5:$D$245,2,0)</f>
        <v>2051</v>
      </c>
      <c r="L66" s="26">
        <f>VLOOKUP(B66,'[5]현황(25년)'!$C$5:$D$233,2,0)</f>
        <v>2218</v>
      </c>
      <c r="M66" s="26">
        <f>VLOOKUP(B66,'[6]현황(26년)'!$C$5:$D$228,2,0)</f>
        <v>1640</v>
      </c>
    </row>
    <row r="67" spans="1:13" s="1" customFormat="1">
      <c r="A67" s="27"/>
      <c r="B67" s="11" t="s">
        <v>509</v>
      </c>
      <c r="C67" s="11" t="s">
        <v>115</v>
      </c>
      <c r="D67" s="10" t="s">
        <v>508</v>
      </c>
      <c r="E67" s="10" t="s">
        <v>566</v>
      </c>
      <c r="F67" s="11"/>
      <c r="G67" s="11">
        <v>19</v>
      </c>
      <c r="H67" s="26">
        <f>VLOOKUP(B67,'[1]현황(21년)'!$D$5:$E$275,2,0)</f>
        <v>211</v>
      </c>
      <c r="I67" s="26">
        <f>VLOOKUP(B67,'[2]현황(22년)'!$D$5:$E$275,2,0)</f>
        <v>1086</v>
      </c>
      <c r="J67" s="26">
        <f>VLOOKUP(B67,'[3]현황(23년)'!$C$5:$D$264,2,0)</f>
        <v>1360</v>
      </c>
      <c r="K67" s="26">
        <f>VLOOKUP(B67,'[4]현황(24년)'!$C$5:$D$245,2,0)</f>
        <v>1211</v>
      </c>
      <c r="L67" s="26">
        <f>VLOOKUP(B67,'[5]현황(25년)'!$C$5:$D$233,2,0)</f>
        <v>1405</v>
      </c>
      <c r="M67" s="26">
        <f>VLOOKUP(B67,'[6]현황(26년)'!$C$5:$D$228,2,0)</f>
        <v>739</v>
      </c>
    </row>
    <row r="68" spans="1:13" s="1" customFormat="1">
      <c r="A68" s="27" t="s">
        <v>116</v>
      </c>
      <c r="B68" s="11" t="s">
        <v>117</v>
      </c>
      <c r="C68" s="11" t="s">
        <v>118</v>
      </c>
      <c r="D68" s="10" t="s">
        <v>501</v>
      </c>
      <c r="E68" s="10">
        <v>2019</v>
      </c>
      <c r="F68" s="11"/>
      <c r="G68" s="11">
        <v>12</v>
      </c>
      <c r="H68" s="26">
        <f>VLOOKUP(B68,'[1]현황(21년)'!$D$5:$E$275,2,0)</f>
        <v>1113</v>
      </c>
      <c r="I68" s="26">
        <f>VLOOKUP(B68,'[2]현황(22년)'!$D$5:$E$275,2,0)</f>
        <v>1355</v>
      </c>
      <c r="J68" s="26">
        <f>VLOOKUP(B68,'[3]현황(23년)'!$C$5:$D$264,2,0)</f>
        <v>1325</v>
      </c>
      <c r="K68" s="26">
        <f>VLOOKUP(B68,'[4]현황(24년)'!$C$5:$D$245,2,0)</f>
        <v>1787</v>
      </c>
      <c r="L68" s="26">
        <f>VLOOKUP(B68,'[5]현황(25년)'!$C$5:$D$233,2,0)</f>
        <v>2125</v>
      </c>
      <c r="M68" s="26">
        <f>VLOOKUP(B68,'[6]현황(26년)'!$C$5:$D$228,2,0)</f>
        <v>899</v>
      </c>
    </row>
    <row r="69" spans="1:13" s="1" customFormat="1">
      <c r="A69" s="27"/>
      <c r="B69" s="11" t="s">
        <v>510</v>
      </c>
      <c r="C69" s="11" t="s">
        <v>119</v>
      </c>
      <c r="D69" s="10" t="s">
        <v>487</v>
      </c>
      <c r="E69" s="10">
        <v>2022</v>
      </c>
      <c r="F69" s="11">
        <v>2026</v>
      </c>
      <c r="G69" s="11">
        <v>19</v>
      </c>
      <c r="H69" s="26" t="s">
        <v>585</v>
      </c>
      <c r="I69" s="26">
        <f>VLOOKUP(B69,'[2]현황(22년)'!$D$5:$E$275,2,0)</f>
        <v>337</v>
      </c>
      <c r="J69" s="26">
        <f>VLOOKUP(B69,'[3]현황(23년)'!$C$5:$D$264,2,0)</f>
        <v>784</v>
      </c>
      <c r="K69" s="26">
        <f>VLOOKUP(B69,'[4]현황(24년)'!$C$5:$D$245,2,0)</f>
        <v>117</v>
      </c>
      <c r="L69" s="26">
        <f>VLOOKUP(B69,'[5]현황(25년)'!$C$5:$D$233,2,0)</f>
        <v>129</v>
      </c>
      <c r="M69" s="26" t="s">
        <v>585</v>
      </c>
    </row>
    <row r="70" spans="1:13" s="1" customFormat="1">
      <c r="A70" s="27"/>
      <c r="B70" s="11" t="s">
        <v>543</v>
      </c>
      <c r="C70" s="11" t="s">
        <v>549</v>
      </c>
      <c r="D70" s="10" t="s">
        <v>508</v>
      </c>
      <c r="E70" s="10">
        <v>2026.7</v>
      </c>
      <c r="F70" s="11"/>
      <c r="G70" s="11">
        <v>19</v>
      </c>
      <c r="H70" s="26" t="s">
        <v>585</v>
      </c>
      <c r="I70" s="26" t="s">
        <v>585</v>
      </c>
      <c r="J70" s="26" t="s">
        <v>585</v>
      </c>
      <c r="K70" s="26" t="s">
        <v>585</v>
      </c>
      <c r="L70" s="26" t="s">
        <v>585</v>
      </c>
      <c r="M70" s="26" t="s">
        <v>585</v>
      </c>
    </row>
    <row r="71" spans="1:13" s="1" customFormat="1">
      <c r="A71" s="27"/>
      <c r="B71" s="11" t="s">
        <v>120</v>
      </c>
      <c r="C71" s="11" t="s">
        <v>121</v>
      </c>
      <c r="D71" s="10" t="s">
        <v>501</v>
      </c>
      <c r="E71" s="10">
        <v>2020</v>
      </c>
      <c r="F71" s="11"/>
      <c r="G71" s="11">
        <v>12</v>
      </c>
      <c r="H71" s="26">
        <f>VLOOKUP(B71,'[1]현황(21년)'!$D$5:$E$275,2,0)</f>
        <v>332</v>
      </c>
      <c r="I71" s="26">
        <f>VLOOKUP(B71,'[2]현황(22년)'!$D$5:$E$275,2,0)</f>
        <v>758</v>
      </c>
      <c r="J71" s="26">
        <f>VLOOKUP(B71,'[3]현황(23년)'!$C$5:$D$264,2,0)</f>
        <v>580</v>
      </c>
      <c r="K71" s="26">
        <f>VLOOKUP(B71,'[4]현황(24년)'!$C$5:$D$245,2,0)</f>
        <v>971</v>
      </c>
      <c r="L71" s="26">
        <f>VLOOKUP(B71,'[5]현황(25년)'!$C$5:$D$233,2,0)</f>
        <v>935</v>
      </c>
      <c r="M71" s="26">
        <f>VLOOKUP(B71,'[6]현황(26년)'!$C$5:$D$228,2,0)</f>
        <v>473</v>
      </c>
    </row>
    <row r="72" spans="1:13" s="1" customFormat="1">
      <c r="A72" s="27"/>
      <c r="B72" s="11" t="s">
        <v>122</v>
      </c>
      <c r="C72" s="11" t="s">
        <v>123</v>
      </c>
      <c r="D72" s="10" t="s">
        <v>501</v>
      </c>
      <c r="E72" s="10">
        <v>2017</v>
      </c>
      <c r="F72" s="11"/>
      <c r="G72" s="11">
        <v>19</v>
      </c>
      <c r="H72" s="26">
        <f>VLOOKUP(B72,'[1]현황(21년)'!$D$5:$E$275,2,0)</f>
        <v>1833</v>
      </c>
      <c r="I72" s="26">
        <f>VLOOKUP(B72,'[2]현황(22년)'!$D$5:$E$275,2,0)</f>
        <v>1426</v>
      </c>
      <c r="J72" s="26">
        <f>VLOOKUP(B72,'[3]현황(23년)'!$C$5:$D$264,2,0)</f>
        <v>986</v>
      </c>
      <c r="K72" s="26">
        <f>VLOOKUP(B72,'[4]현황(24년)'!$C$5:$D$245,2,0)</f>
        <v>794</v>
      </c>
      <c r="L72" s="26">
        <f>VLOOKUP(B72,'[5]현황(25년)'!$C$5:$D$233,2,0)</f>
        <v>906</v>
      </c>
      <c r="M72" s="26">
        <f>VLOOKUP(B72,'[6]현황(26년)'!$C$5:$D$228,2,0)</f>
        <v>417</v>
      </c>
    </row>
    <row r="73" spans="1:13" s="1" customFormat="1">
      <c r="A73" s="27"/>
      <c r="B73" s="11" t="s">
        <v>124</v>
      </c>
      <c r="C73" s="11" t="s">
        <v>125</v>
      </c>
      <c r="D73" s="10" t="s">
        <v>501</v>
      </c>
      <c r="E73" s="10">
        <v>2016</v>
      </c>
      <c r="F73" s="11"/>
      <c r="G73" s="11">
        <v>19</v>
      </c>
      <c r="H73" s="26">
        <f>VLOOKUP(B73,'[1]현황(21년)'!$D$5:$E$275,2,0)</f>
        <v>2348</v>
      </c>
      <c r="I73" s="26">
        <f>VLOOKUP(B73,'[2]현황(22년)'!$D$5:$E$275,2,0)</f>
        <v>2728</v>
      </c>
      <c r="J73" s="26">
        <f>VLOOKUP(B73,'[3]현황(23년)'!$C$5:$D$264,2,0)</f>
        <v>2764</v>
      </c>
      <c r="K73" s="26">
        <f>VLOOKUP(B73,'[4]현황(24년)'!$C$5:$D$245,2,0)</f>
        <v>2728</v>
      </c>
      <c r="L73" s="26">
        <f>VLOOKUP(B73,'[5]현황(25년)'!$C$5:$D$233,2,0)</f>
        <v>2978</v>
      </c>
      <c r="M73" s="26">
        <f>VLOOKUP(B73,'[6]현황(26년)'!$C$5:$D$228,2,0)</f>
        <v>1610</v>
      </c>
    </row>
    <row r="74" spans="1:13" s="1" customFormat="1">
      <c r="A74" s="27"/>
      <c r="B74" s="11" t="s">
        <v>126</v>
      </c>
      <c r="C74" s="11" t="s">
        <v>127</v>
      </c>
      <c r="D74" s="10" t="s">
        <v>501</v>
      </c>
      <c r="E74" s="10">
        <v>2015</v>
      </c>
      <c r="F74" s="11"/>
      <c r="G74" s="11">
        <v>19</v>
      </c>
      <c r="H74" s="26">
        <f>VLOOKUP(B74,'[1]현황(21년)'!$D$5:$E$275,2,0)</f>
        <v>2857</v>
      </c>
      <c r="I74" s="26">
        <f>VLOOKUP(B74,'[2]현황(22년)'!$D$5:$E$275,2,0)</f>
        <v>2113</v>
      </c>
      <c r="J74" s="26">
        <f>VLOOKUP(B74,'[3]현황(23년)'!$C$5:$D$264,2,0)</f>
        <v>1673</v>
      </c>
      <c r="K74" s="26">
        <f>VLOOKUP(B74,'[4]현황(24년)'!$C$5:$D$245,2,0)</f>
        <v>1665</v>
      </c>
      <c r="L74" s="26">
        <f>VLOOKUP(B74,'[5]현황(25년)'!$C$5:$D$233,2,0)</f>
        <v>1456</v>
      </c>
      <c r="M74" s="26">
        <f>VLOOKUP(B74,'[6]현황(26년)'!$C$5:$D$228,2,0)</f>
        <v>1070</v>
      </c>
    </row>
    <row r="75" spans="1:13" s="1" customFormat="1">
      <c r="A75" s="27"/>
      <c r="B75" s="11" t="s">
        <v>531</v>
      </c>
      <c r="C75" s="11" t="s">
        <v>550</v>
      </c>
      <c r="D75" s="10" t="s">
        <v>487</v>
      </c>
      <c r="E75" s="10">
        <v>2018</v>
      </c>
      <c r="F75" s="11">
        <v>2023</v>
      </c>
      <c r="G75" s="11">
        <v>12</v>
      </c>
      <c r="H75" s="26">
        <f>VLOOKUP(B75,'[1]현황(21년)'!$D$5:$E$275,2,0)</f>
        <v>653</v>
      </c>
      <c r="I75" s="26">
        <f>VLOOKUP(B75,'[2]현황(22년)'!$D$5:$E$275,2,0)</f>
        <v>521</v>
      </c>
      <c r="J75" s="26" t="s">
        <v>585</v>
      </c>
      <c r="K75" s="26" t="s">
        <v>585</v>
      </c>
      <c r="L75" s="26" t="s">
        <v>585</v>
      </c>
      <c r="M75" s="26" t="s">
        <v>585</v>
      </c>
    </row>
    <row r="76" spans="1:13" s="1" customFormat="1">
      <c r="A76" s="27"/>
      <c r="B76" s="11" t="s">
        <v>128</v>
      </c>
      <c r="C76" s="11" t="s">
        <v>129</v>
      </c>
      <c r="D76" s="10" t="s">
        <v>501</v>
      </c>
      <c r="E76" s="10">
        <v>2014</v>
      </c>
      <c r="F76" s="11"/>
      <c r="G76" s="11">
        <v>19</v>
      </c>
      <c r="H76" s="26">
        <f>VLOOKUP(B76,'[1]현황(21년)'!$D$5:$E$275,2,0)</f>
        <v>2840</v>
      </c>
      <c r="I76" s="26">
        <f>VLOOKUP(B76,'[2]현황(22년)'!$D$5:$E$275,2,0)</f>
        <v>3102</v>
      </c>
      <c r="J76" s="26">
        <f>VLOOKUP(B76,'[3]현황(23년)'!$C$5:$D$264,2,0)</f>
        <v>3389</v>
      </c>
      <c r="K76" s="26">
        <f>VLOOKUP(B76,'[4]현황(24년)'!$C$5:$D$245,2,0)</f>
        <v>3519</v>
      </c>
      <c r="L76" s="26">
        <f>VLOOKUP(B76,'[5]현황(25년)'!$C$5:$D$233,2,0)</f>
        <v>3305</v>
      </c>
      <c r="M76" s="26">
        <f>VLOOKUP(B76,'[6]현황(26년)'!$C$5:$D$228,2,0)</f>
        <v>1211</v>
      </c>
    </row>
    <row r="77" spans="1:13" s="1" customFormat="1">
      <c r="A77" s="27"/>
      <c r="B77" s="11" t="s">
        <v>130</v>
      </c>
      <c r="C77" s="11" t="s">
        <v>131</v>
      </c>
      <c r="D77" s="10" t="s">
        <v>501</v>
      </c>
      <c r="E77" s="10">
        <v>2014</v>
      </c>
      <c r="F77" s="11"/>
      <c r="G77" s="11">
        <v>19</v>
      </c>
      <c r="H77" s="26">
        <f>VLOOKUP(B77,'[1]현황(21년)'!$D$5:$E$275,2,0)</f>
        <v>4983</v>
      </c>
      <c r="I77" s="26">
        <f>VLOOKUP(B77,'[2]현황(22년)'!$D$5:$E$275,2,0)</f>
        <v>3941</v>
      </c>
      <c r="J77" s="26">
        <f>VLOOKUP(B77,'[3]현황(23년)'!$C$5:$D$264,2,0)</f>
        <v>3909</v>
      </c>
      <c r="K77" s="26">
        <f>VLOOKUP(B77,'[4]현황(24년)'!$C$5:$D$245,2,0)</f>
        <v>3356</v>
      </c>
      <c r="L77" s="26">
        <f>VLOOKUP(B77,'[5]현황(25년)'!$C$5:$D$233,2,0)</f>
        <v>3676</v>
      </c>
      <c r="M77" s="26">
        <f>VLOOKUP(B77,'[6]현황(26년)'!$C$5:$D$228,2,0)</f>
        <v>1808</v>
      </c>
    </row>
    <row r="78" spans="1:13" s="1" customFormat="1">
      <c r="A78" s="27" t="s">
        <v>132</v>
      </c>
      <c r="B78" s="11" t="s">
        <v>511</v>
      </c>
      <c r="C78" s="11" t="s">
        <v>133</v>
      </c>
      <c r="D78" s="10" t="s">
        <v>508</v>
      </c>
      <c r="E78" s="10" t="s">
        <v>566</v>
      </c>
      <c r="F78" s="11"/>
      <c r="G78" s="11">
        <v>19</v>
      </c>
      <c r="H78" s="26">
        <f>VLOOKUP(B78,'[1]현황(21년)'!$D$5:$E$275,2,0)</f>
        <v>202</v>
      </c>
      <c r="I78" s="26">
        <f>VLOOKUP(B78,'[2]현황(22년)'!$D$5:$E$275,2,0)</f>
        <v>2096</v>
      </c>
      <c r="J78" s="26">
        <f>VLOOKUP(B78,'[3]현황(23년)'!$C$5:$D$264,2,0)</f>
        <v>3405</v>
      </c>
      <c r="K78" s="26">
        <f>VLOOKUP(B78,'[4]현황(24년)'!$C$5:$D$245,2,0)</f>
        <v>4237</v>
      </c>
      <c r="L78" s="26">
        <f>VLOOKUP(B78,'[5]현황(25년)'!$C$5:$D$233,2,0)</f>
        <v>4308</v>
      </c>
      <c r="M78" s="26">
        <f>VLOOKUP(B78,'[6]현황(26년)'!$C$5:$D$228,2,0)</f>
        <v>2140</v>
      </c>
    </row>
    <row r="79" spans="1:13" s="1" customFormat="1">
      <c r="A79" s="27"/>
      <c r="B79" s="11" t="s">
        <v>494</v>
      </c>
      <c r="C79" s="11" t="s">
        <v>134</v>
      </c>
      <c r="D79" s="10" t="s">
        <v>487</v>
      </c>
      <c r="E79" s="10">
        <v>2017</v>
      </c>
      <c r="F79" s="11">
        <v>2024</v>
      </c>
      <c r="G79" s="11">
        <v>19</v>
      </c>
      <c r="H79" s="26">
        <f>VLOOKUP(B79,'[1]현황(21년)'!$D$5:$E$275,2,0)</f>
        <v>1643</v>
      </c>
      <c r="I79" s="26">
        <f>VLOOKUP(B79,'[2]현황(22년)'!$D$5:$E$275,2,0)</f>
        <v>1185</v>
      </c>
      <c r="J79" s="26">
        <f>VLOOKUP(B79,'[3]현황(23년)'!$C$5:$D$264,2,0)</f>
        <v>668</v>
      </c>
      <c r="K79" s="26" t="s">
        <v>585</v>
      </c>
      <c r="L79" s="26" t="s">
        <v>585</v>
      </c>
      <c r="M79" s="26" t="s">
        <v>585</v>
      </c>
    </row>
    <row r="80" spans="1:13" s="1" customFormat="1">
      <c r="A80" s="27"/>
      <c r="B80" s="11" t="s">
        <v>135</v>
      </c>
      <c r="C80" s="11" t="s">
        <v>136</v>
      </c>
      <c r="D80" s="10" t="s">
        <v>501</v>
      </c>
      <c r="E80" s="10">
        <v>2016</v>
      </c>
      <c r="F80" s="11"/>
      <c r="G80" s="11">
        <v>19</v>
      </c>
      <c r="H80" s="26">
        <f>VLOOKUP(B80,'[1]현황(21년)'!$D$5:$E$275,2,0)</f>
        <v>3020</v>
      </c>
      <c r="I80" s="26">
        <f>VLOOKUP(B80,'[2]현황(22년)'!$D$5:$E$275,2,0)</f>
        <v>3664</v>
      </c>
      <c r="J80" s="26">
        <f>VLOOKUP(B80,'[3]현황(23년)'!$C$5:$D$264,2,0)</f>
        <v>4153</v>
      </c>
      <c r="K80" s="26">
        <f>VLOOKUP(B80,'[4]현황(24년)'!$C$5:$D$245,2,0)</f>
        <v>3109</v>
      </c>
      <c r="L80" s="26">
        <f>VLOOKUP(B80,'[5]현황(25년)'!$C$5:$D$233,2,0)</f>
        <v>2920</v>
      </c>
      <c r="M80" s="26">
        <f>VLOOKUP(B80,'[6]현황(26년)'!$C$5:$D$228,2,0)</f>
        <v>1406</v>
      </c>
    </row>
    <row r="81" spans="1:13" s="1" customFormat="1">
      <c r="A81" s="27"/>
      <c r="B81" s="11" t="s">
        <v>137</v>
      </c>
      <c r="C81" s="11" t="s">
        <v>138</v>
      </c>
      <c r="D81" s="10" t="s">
        <v>486</v>
      </c>
      <c r="E81" s="10">
        <v>2016</v>
      </c>
      <c r="F81" s="11">
        <v>2025</v>
      </c>
      <c r="G81" s="11">
        <v>19</v>
      </c>
      <c r="H81" s="26">
        <f>VLOOKUP(B81,'[1]현황(21년)'!$D$5:$E$275,2,0)</f>
        <v>2059</v>
      </c>
      <c r="I81" s="26">
        <f>VLOOKUP(B81,'[2]현황(22년)'!$D$5:$E$275,2,0)</f>
        <v>1567</v>
      </c>
      <c r="J81" s="26">
        <f>VLOOKUP(B81,'[3]현황(23년)'!$C$5:$D$264,2,0)</f>
        <v>1213</v>
      </c>
      <c r="K81" s="26">
        <f>VLOOKUP(B81,'[4]현황(24년)'!$C$5:$D$245,2,0)</f>
        <v>997</v>
      </c>
      <c r="L81" s="26" t="s">
        <v>585</v>
      </c>
      <c r="M81" s="26" t="s">
        <v>585</v>
      </c>
    </row>
    <row r="82" spans="1:13" s="1" customFormat="1">
      <c r="A82" s="27"/>
      <c r="B82" s="11" t="s">
        <v>139</v>
      </c>
      <c r="C82" s="11" t="s">
        <v>140</v>
      </c>
      <c r="D82" s="10" t="s">
        <v>501</v>
      </c>
      <c r="E82" s="10">
        <v>2016</v>
      </c>
      <c r="F82" s="11"/>
      <c r="G82" s="11">
        <v>19</v>
      </c>
      <c r="H82" s="26">
        <f>VLOOKUP(B82,'[1]현황(21년)'!$D$5:$E$275,2,0)</f>
        <v>2333</v>
      </c>
      <c r="I82" s="26">
        <f>VLOOKUP(B82,'[2]현황(22년)'!$D$5:$E$275,2,0)</f>
        <v>1299</v>
      </c>
      <c r="J82" s="26">
        <f>VLOOKUP(B82,'[3]현황(23년)'!$C$5:$D$264,2,0)</f>
        <v>1358</v>
      </c>
      <c r="K82" s="26">
        <f>VLOOKUP(B82,'[4]현황(24년)'!$C$5:$D$245,2,0)</f>
        <v>997</v>
      </c>
      <c r="L82" s="26">
        <f>VLOOKUP(B82,'[5]현황(25년)'!$C$5:$D$233,2,0)</f>
        <v>788</v>
      </c>
      <c r="M82" s="26">
        <f>VLOOKUP(B82,'[6]현황(26년)'!$C$5:$D$228,2,0)</f>
        <v>511</v>
      </c>
    </row>
    <row r="83" spans="1:13" s="1" customFormat="1">
      <c r="A83" s="27"/>
      <c r="B83" s="11" t="s">
        <v>141</v>
      </c>
      <c r="C83" s="11" t="s">
        <v>142</v>
      </c>
      <c r="D83" s="10" t="s">
        <v>501</v>
      </c>
      <c r="E83" s="10">
        <v>2015</v>
      </c>
      <c r="F83" s="11"/>
      <c r="G83" s="11">
        <v>19</v>
      </c>
      <c r="H83" s="26">
        <f>VLOOKUP(B83,'[1]현황(21년)'!$D$5:$E$275,2,0)</f>
        <v>3381</v>
      </c>
      <c r="I83" s="26">
        <f>VLOOKUP(B83,'[2]현황(22년)'!$D$5:$E$275,2,0)</f>
        <v>3467</v>
      </c>
      <c r="J83" s="26">
        <f>VLOOKUP(B83,'[3]현황(23년)'!$C$5:$D$264,2,0)</f>
        <v>3659</v>
      </c>
      <c r="K83" s="26">
        <f>VLOOKUP(B83,'[4]현황(24년)'!$C$5:$D$245,2,0)</f>
        <v>3407</v>
      </c>
      <c r="L83" s="26">
        <f>VLOOKUP(B83,'[5]현황(25년)'!$C$5:$D$233,2,0)</f>
        <v>4059</v>
      </c>
      <c r="M83" s="26">
        <f>VLOOKUP(B83,'[6]현황(26년)'!$C$5:$D$228,2,0)</f>
        <v>2297</v>
      </c>
    </row>
    <row r="84" spans="1:13" s="1" customFormat="1">
      <c r="A84" s="27"/>
      <c r="B84" s="11" t="s">
        <v>143</v>
      </c>
      <c r="C84" s="11" t="s">
        <v>144</v>
      </c>
      <c r="D84" s="10" t="s">
        <v>501</v>
      </c>
      <c r="E84" s="10">
        <v>2014</v>
      </c>
      <c r="F84" s="11"/>
      <c r="G84" s="11">
        <v>19</v>
      </c>
      <c r="H84" s="26">
        <f>VLOOKUP(B84,'[1]현황(21년)'!$D$5:$E$275,2,0)</f>
        <v>4792</v>
      </c>
      <c r="I84" s="26">
        <f>VLOOKUP(B84,'[2]현황(22년)'!$D$5:$E$275,2,0)</f>
        <v>4573</v>
      </c>
      <c r="J84" s="26">
        <f>VLOOKUP(B84,'[3]현황(23년)'!$C$5:$D$264,2,0)</f>
        <v>4012</v>
      </c>
      <c r="K84" s="26">
        <f>VLOOKUP(B84,'[4]현황(24년)'!$C$5:$D$245,2,0)</f>
        <v>3770</v>
      </c>
      <c r="L84" s="26">
        <f>VLOOKUP(B84,'[5]현황(25년)'!$C$5:$D$233,2,0)</f>
        <v>3343</v>
      </c>
      <c r="M84" s="26">
        <f>VLOOKUP(B84,'[6]현황(26년)'!$C$5:$D$228,2,0)</f>
        <v>1487</v>
      </c>
    </row>
    <row r="85" spans="1:13" s="1" customFormat="1">
      <c r="A85" s="27"/>
      <c r="B85" s="11" t="s">
        <v>145</v>
      </c>
      <c r="C85" s="11" t="s">
        <v>146</v>
      </c>
      <c r="D85" s="10" t="s">
        <v>486</v>
      </c>
      <c r="E85" s="10">
        <v>2014</v>
      </c>
      <c r="F85" s="11">
        <v>2025</v>
      </c>
      <c r="G85" s="11">
        <v>19</v>
      </c>
      <c r="H85" s="26">
        <f>VLOOKUP(B85,'[1]현황(21년)'!$D$5:$E$275,2,0)</f>
        <v>3642</v>
      </c>
      <c r="I85" s="26">
        <f>VLOOKUP(B85,'[2]현황(22년)'!$D$5:$E$275,2,0)</f>
        <v>3871</v>
      </c>
      <c r="J85" s="26">
        <f>VLOOKUP(B85,'[3]현황(23년)'!$C$5:$D$264,2,0)</f>
        <v>2844</v>
      </c>
      <c r="K85" s="26">
        <f>VLOOKUP(B85,'[4]현황(24년)'!$C$5:$D$245,2,0)</f>
        <v>3399</v>
      </c>
      <c r="L85" s="26" t="s">
        <v>585</v>
      </c>
      <c r="M85" s="26" t="s">
        <v>585</v>
      </c>
    </row>
    <row r="86" spans="1:13" s="1" customFormat="1">
      <c r="A86" s="27"/>
      <c r="B86" s="11" t="s">
        <v>147</v>
      </c>
      <c r="C86" s="11" t="s">
        <v>148</v>
      </c>
      <c r="D86" s="10" t="s">
        <v>501</v>
      </c>
      <c r="E86" s="10">
        <v>2013</v>
      </c>
      <c r="F86" s="11"/>
      <c r="G86" s="11">
        <v>19</v>
      </c>
      <c r="H86" s="26">
        <f>VLOOKUP(B86,'[1]현황(21년)'!$D$5:$E$275,2,0)</f>
        <v>4706</v>
      </c>
      <c r="I86" s="26">
        <f>VLOOKUP(B86,'[2]현황(22년)'!$D$5:$E$275,2,0)</f>
        <v>5390</v>
      </c>
      <c r="J86" s="26">
        <f>VLOOKUP(B86,'[3]현황(23년)'!$C$5:$D$264,2,0)</f>
        <v>4364</v>
      </c>
      <c r="K86" s="26">
        <f>VLOOKUP(B86,'[4]현황(24년)'!$C$5:$D$245,2,0)</f>
        <v>4135</v>
      </c>
      <c r="L86" s="26">
        <f>VLOOKUP(B86,'[5]현황(25년)'!$C$5:$D$233,2,0)</f>
        <v>3334</v>
      </c>
      <c r="M86" s="26">
        <f>VLOOKUP(B86,'[6]현황(26년)'!$C$5:$D$228,2,0)</f>
        <v>1360</v>
      </c>
    </row>
    <row r="87" spans="1:13" s="1" customFormat="1">
      <c r="A87" s="27" t="s">
        <v>149</v>
      </c>
      <c r="B87" s="11" t="s">
        <v>150</v>
      </c>
      <c r="C87" s="11" t="s">
        <v>151</v>
      </c>
      <c r="D87" s="10" t="s">
        <v>598</v>
      </c>
      <c r="E87" s="10">
        <v>2017</v>
      </c>
      <c r="F87" s="11"/>
      <c r="G87" s="11">
        <v>19</v>
      </c>
      <c r="H87" s="26">
        <f>VLOOKUP(B87,'[1]현황(21년)'!$D$5:$E$275,2,0)</f>
        <v>1730</v>
      </c>
      <c r="I87" s="26">
        <f>VLOOKUP(B87,'[2]현황(22년)'!$D$5:$E$275,2,0)</f>
        <v>3237</v>
      </c>
      <c r="J87" s="26">
        <f>VLOOKUP(B87,'[3]현황(23년)'!$C$5:$D$264,2,0)</f>
        <v>2468</v>
      </c>
      <c r="K87" s="26">
        <f>VLOOKUP(B87,'[4]현황(24년)'!$C$5:$D$245,2,0)</f>
        <v>1214</v>
      </c>
      <c r="L87" s="26">
        <f>VLOOKUP(B87,'[5]현황(25년)'!$C$5:$D$233,2,0)</f>
        <v>1474</v>
      </c>
      <c r="M87" s="26">
        <v>606</v>
      </c>
    </row>
    <row r="88" spans="1:13" s="1" customFormat="1">
      <c r="A88" s="27"/>
      <c r="B88" s="11" t="s">
        <v>152</v>
      </c>
      <c r="C88" s="11" t="s">
        <v>153</v>
      </c>
      <c r="D88" s="10" t="s">
        <v>501</v>
      </c>
      <c r="E88" s="10">
        <v>2017</v>
      </c>
      <c r="F88" s="11"/>
      <c r="G88" s="11">
        <v>19</v>
      </c>
      <c r="H88" s="26">
        <f>VLOOKUP(B88,'[1]현황(21년)'!$D$5:$E$275,2,0)</f>
        <v>1941</v>
      </c>
      <c r="I88" s="26">
        <f>VLOOKUP(B88,'[2]현황(22년)'!$D$5:$E$275,2,0)</f>
        <v>1656</v>
      </c>
      <c r="J88" s="26">
        <f>VLOOKUP(B88,'[3]현황(23년)'!$C$5:$D$264,2,0)</f>
        <v>1521</v>
      </c>
      <c r="K88" s="26">
        <f>VLOOKUP(B88,'[4]현황(24년)'!$C$5:$D$245,2,0)</f>
        <v>1286</v>
      </c>
      <c r="L88" s="26">
        <f>VLOOKUP(B88,'[5]현황(25년)'!$C$5:$D$233,2,0)</f>
        <v>1259</v>
      </c>
      <c r="M88" s="26">
        <f>VLOOKUP(B88,'[6]현황(26년)'!$C$5:$D$228,2,0)</f>
        <v>703</v>
      </c>
    </row>
    <row r="89" spans="1:13" s="1" customFormat="1">
      <c r="A89" s="27"/>
      <c r="B89" s="11" t="s">
        <v>154</v>
      </c>
      <c r="C89" s="11" t="s">
        <v>155</v>
      </c>
      <c r="D89" s="10" t="s">
        <v>501</v>
      </c>
      <c r="E89" s="10">
        <v>2016</v>
      </c>
      <c r="F89" s="11"/>
      <c r="G89" s="11">
        <v>19</v>
      </c>
      <c r="H89" s="26">
        <f>VLOOKUP(B89,'[1]현황(21년)'!$D$5:$E$275,2,0)</f>
        <v>4637</v>
      </c>
      <c r="I89" s="26">
        <f>VLOOKUP(B89,'[2]현황(22년)'!$D$5:$E$275,2,0)</f>
        <v>4749</v>
      </c>
      <c r="J89" s="26">
        <f>VLOOKUP(B89,'[3]현황(23년)'!$C$5:$D$264,2,0)</f>
        <v>3983</v>
      </c>
      <c r="K89" s="26">
        <f>VLOOKUP(B89,'[4]현황(24년)'!$C$5:$D$245,2,0)</f>
        <v>4630</v>
      </c>
      <c r="L89" s="26">
        <f>VLOOKUP(B89,'[5]현황(25년)'!$C$5:$D$233,2,0)</f>
        <v>4569</v>
      </c>
      <c r="M89" s="26">
        <f>VLOOKUP(B89,'[6]현황(26년)'!$C$5:$D$228,2,0)</f>
        <v>2287</v>
      </c>
    </row>
    <row r="90" spans="1:13" s="1" customFormat="1">
      <c r="A90" s="27"/>
      <c r="B90" s="11" t="s">
        <v>561</v>
      </c>
      <c r="C90" s="11" t="s">
        <v>156</v>
      </c>
      <c r="D90" s="10" t="s">
        <v>487</v>
      </c>
      <c r="E90" s="10">
        <v>2016</v>
      </c>
      <c r="F90" s="11">
        <v>2024</v>
      </c>
      <c r="G90" s="11">
        <v>12</v>
      </c>
      <c r="H90" s="26">
        <f>VLOOKUP(B90,'[1]현황(21년)'!$D$5:$E$275,2,0)</f>
        <v>1421</v>
      </c>
      <c r="I90" s="26">
        <f>VLOOKUP(B90,'[2]현황(22년)'!$D$5:$E$275,2,0)</f>
        <v>1188</v>
      </c>
      <c r="J90" s="26">
        <f>VLOOKUP(B90,'[3]현황(23년)'!$C$5:$D$264,2,0)</f>
        <v>856</v>
      </c>
      <c r="K90" s="26" t="s">
        <v>585</v>
      </c>
      <c r="L90" s="26" t="s">
        <v>585</v>
      </c>
      <c r="M90" s="26" t="s">
        <v>585</v>
      </c>
    </row>
    <row r="91" spans="1:13" s="1" customFormat="1">
      <c r="A91" s="27"/>
      <c r="B91" s="11" t="s">
        <v>157</v>
      </c>
      <c r="C91" s="11" t="s">
        <v>158</v>
      </c>
      <c r="D91" s="10" t="s">
        <v>501</v>
      </c>
      <c r="E91" s="10">
        <v>2014</v>
      </c>
      <c r="F91" s="11"/>
      <c r="G91" s="11">
        <v>19</v>
      </c>
      <c r="H91" s="26">
        <f>VLOOKUP(B91,'[1]현황(21년)'!$D$5:$E$275,2,0)</f>
        <v>2194</v>
      </c>
      <c r="I91" s="26">
        <f>VLOOKUP(B91,'[2]현황(22년)'!$D$5:$E$275,2,0)</f>
        <v>1875</v>
      </c>
      <c r="J91" s="26">
        <f>VLOOKUP(B91,'[3]현황(23년)'!$C$5:$D$264,2,0)</f>
        <v>2122</v>
      </c>
      <c r="K91" s="26">
        <f>VLOOKUP(B91,'[4]현황(24년)'!$C$5:$D$245,2,0)</f>
        <v>1970</v>
      </c>
      <c r="L91" s="26">
        <f>VLOOKUP(B91,'[5]현황(25년)'!$C$5:$D$233,2,0)</f>
        <v>1679</v>
      </c>
      <c r="M91" s="26">
        <f>VLOOKUP(B91,'[6]현황(26년)'!$C$5:$D$228,2,0)</f>
        <v>20</v>
      </c>
    </row>
    <row r="92" spans="1:13" s="1" customFormat="1">
      <c r="A92" s="27"/>
      <c r="B92" s="11" t="s">
        <v>159</v>
      </c>
      <c r="C92" s="11" t="s">
        <v>160</v>
      </c>
      <c r="D92" s="10" t="s">
        <v>501</v>
      </c>
      <c r="E92" s="10">
        <v>2014</v>
      </c>
      <c r="F92" s="11"/>
      <c r="G92" s="11">
        <v>19</v>
      </c>
      <c r="H92" s="26">
        <f>VLOOKUP(B92,'[1]현황(21년)'!$D$5:$E$275,2,0)</f>
        <v>1567</v>
      </c>
      <c r="I92" s="26">
        <f>VLOOKUP(B92,'[2]현황(22년)'!$D$5:$E$275,2,0)</f>
        <v>2165</v>
      </c>
      <c r="J92" s="26">
        <f>VLOOKUP(B92,'[3]현황(23년)'!$C$5:$D$264,2,0)</f>
        <v>1856</v>
      </c>
      <c r="K92" s="26">
        <f>VLOOKUP(B92,'[4]현황(24년)'!$C$5:$D$245,2,0)</f>
        <v>1135</v>
      </c>
      <c r="L92" s="26">
        <f>VLOOKUP(B92,'[5]현황(25년)'!$C$5:$D$233,2,0)</f>
        <v>1237</v>
      </c>
      <c r="M92" s="26">
        <f>VLOOKUP(B92,'[6]현황(26년)'!$C$5:$D$228,2,0)</f>
        <v>639</v>
      </c>
    </row>
    <row r="93" spans="1:13" s="1" customFormat="1">
      <c r="A93" s="27"/>
      <c r="B93" s="11" t="s">
        <v>161</v>
      </c>
      <c r="C93" s="11" t="s">
        <v>162</v>
      </c>
      <c r="D93" s="10" t="s">
        <v>487</v>
      </c>
      <c r="E93" s="10">
        <v>2013</v>
      </c>
      <c r="F93" s="11">
        <v>2024</v>
      </c>
      <c r="G93" s="11">
        <v>26</v>
      </c>
      <c r="H93" s="26">
        <f>VLOOKUP(B93,'[1]현황(21년)'!$D$5:$E$275,2,0)</f>
        <v>5067</v>
      </c>
      <c r="I93" s="26">
        <f>VLOOKUP(B93,'[2]현황(22년)'!$D$5:$E$275,2,0)</f>
        <v>6165</v>
      </c>
      <c r="J93" s="26">
        <f>VLOOKUP(B93,'[3]현황(23년)'!$C$5:$D$264,2,0)</f>
        <v>5328</v>
      </c>
      <c r="K93" s="26" t="s">
        <v>585</v>
      </c>
      <c r="L93" s="26" t="s">
        <v>585</v>
      </c>
      <c r="M93" s="26" t="s">
        <v>585</v>
      </c>
    </row>
    <row r="94" spans="1:13" s="1" customFormat="1">
      <c r="A94" s="27"/>
      <c r="B94" s="11" t="s">
        <v>532</v>
      </c>
      <c r="C94" s="11" t="s">
        <v>551</v>
      </c>
      <c r="D94" s="10" t="s">
        <v>487</v>
      </c>
      <c r="E94" s="10" t="s">
        <v>566</v>
      </c>
      <c r="F94" s="11">
        <v>2022</v>
      </c>
      <c r="G94" s="11"/>
      <c r="H94" s="26">
        <f>VLOOKUP(B94,'[1]현황(21년)'!$D$5:$E$275,2,0)</f>
        <v>170</v>
      </c>
      <c r="I94" s="26" t="s">
        <v>585</v>
      </c>
      <c r="J94" s="26" t="s">
        <v>585</v>
      </c>
      <c r="K94" s="26" t="s">
        <v>585</v>
      </c>
      <c r="L94" s="26" t="s">
        <v>585</v>
      </c>
      <c r="M94" s="26" t="s">
        <v>585</v>
      </c>
    </row>
    <row r="95" spans="1:13" s="1" customFormat="1">
      <c r="A95" s="27"/>
      <c r="B95" s="11" t="s">
        <v>533</v>
      </c>
      <c r="C95" s="11" t="s">
        <v>552</v>
      </c>
      <c r="D95" s="10" t="s">
        <v>487</v>
      </c>
      <c r="E95" s="10">
        <v>2016</v>
      </c>
      <c r="F95" s="11">
        <v>2023</v>
      </c>
      <c r="G95" s="11"/>
      <c r="H95" s="26">
        <f>VLOOKUP(B95,'[1]현황(21년)'!$D$5:$E$275,2,0)</f>
        <v>2931</v>
      </c>
      <c r="I95" s="26">
        <f>VLOOKUP(B95,'[2]현황(22년)'!$D$5:$E$275,2,0)</f>
        <v>258</v>
      </c>
      <c r="J95" s="26" t="s">
        <v>585</v>
      </c>
      <c r="K95" s="26" t="s">
        <v>585</v>
      </c>
      <c r="L95" s="26" t="s">
        <v>585</v>
      </c>
      <c r="M95" s="26" t="s">
        <v>585</v>
      </c>
    </row>
    <row r="96" spans="1:13" s="1" customFormat="1">
      <c r="A96" s="27"/>
      <c r="B96" s="11" t="s">
        <v>163</v>
      </c>
      <c r="C96" s="11" t="s">
        <v>164</v>
      </c>
      <c r="D96" s="10" t="s">
        <v>501</v>
      </c>
      <c r="E96" s="10">
        <v>2013</v>
      </c>
      <c r="F96" s="11"/>
      <c r="G96" s="11">
        <v>19</v>
      </c>
      <c r="H96" s="26">
        <f>VLOOKUP(B96,'[1]현황(21년)'!$D$5:$E$275,2,0)</f>
        <v>3011</v>
      </c>
      <c r="I96" s="26">
        <f>VLOOKUP(B96,'[2]현황(22년)'!$D$5:$E$275,2,0)</f>
        <v>2797</v>
      </c>
      <c r="J96" s="26">
        <f>VLOOKUP(B96,'[3]현황(23년)'!$C$5:$D$264,2,0)</f>
        <v>2525</v>
      </c>
      <c r="K96" s="26">
        <f>VLOOKUP(B96,'[4]현황(24년)'!$C$5:$D$245,2,0)</f>
        <v>2140</v>
      </c>
      <c r="L96" s="26">
        <f>VLOOKUP(B96,'[5]현황(25년)'!$C$5:$D$233,2,0)</f>
        <v>1992</v>
      </c>
      <c r="M96" s="26">
        <f>VLOOKUP(B96,'[6]현황(26년)'!$C$5:$D$228,2,0)</f>
        <v>849</v>
      </c>
    </row>
    <row r="97" spans="1:13" s="1" customFormat="1">
      <c r="A97" s="27"/>
      <c r="B97" s="11" t="s">
        <v>165</v>
      </c>
      <c r="C97" s="11" t="s">
        <v>166</v>
      </c>
      <c r="D97" s="10" t="s">
        <v>501</v>
      </c>
      <c r="E97" s="10">
        <v>2018</v>
      </c>
      <c r="F97" s="11"/>
      <c r="G97" s="11">
        <v>12</v>
      </c>
      <c r="H97" s="26">
        <f>VLOOKUP(B97,'[1]현황(21년)'!$D$5:$E$275,2,0)</f>
        <v>1903</v>
      </c>
      <c r="I97" s="26">
        <f>VLOOKUP(B97,'[2]현황(22년)'!$D$5:$E$275,2,0)</f>
        <v>1914</v>
      </c>
      <c r="J97" s="26">
        <f>VLOOKUP(B97,'[3]현황(23년)'!$C$5:$D$264,2,0)</f>
        <v>1696</v>
      </c>
      <c r="K97" s="26">
        <f>VLOOKUP(B97,'[4]현황(24년)'!$C$5:$D$245,2,0)</f>
        <v>1860</v>
      </c>
      <c r="L97" s="26">
        <f>VLOOKUP(B97,'[5]현황(25년)'!$C$5:$D$233,2,0)</f>
        <v>1882</v>
      </c>
      <c r="M97" s="26">
        <f>VLOOKUP(B97,'[6]현황(26년)'!$C$5:$D$228,2,0)</f>
        <v>1183</v>
      </c>
    </row>
    <row r="98" spans="1:13" s="1" customFormat="1">
      <c r="A98" s="27" t="s">
        <v>167</v>
      </c>
      <c r="B98" s="11" t="s">
        <v>168</v>
      </c>
      <c r="C98" s="11" t="s">
        <v>169</v>
      </c>
      <c r="D98" s="10" t="s">
        <v>501</v>
      </c>
      <c r="E98" s="10">
        <v>2019</v>
      </c>
      <c r="F98" s="11"/>
      <c r="G98" s="11">
        <v>12</v>
      </c>
      <c r="H98" s="26">
        <f>VLOOKUP(B98,'[1]현황(21년)'!$D$5:$E$275,2,0)</f>
        <v>1030</v>
      </c>
      <c r="I98" s="26">
        <f>VLOOKUP(B98,'[2]현황(22년)'!$D$5:$E$275,2,0)</f>
        <v>1026</v>
      </c>
      <c r="J98" s="26">
        <f>VLOOKUP(B98,'[3]현황(23년)'!$C$5:$D$264,2,0)</f>
        <v>700</v>
      </c>
      <c r="K98" s="26">
        <f>VLOOKUP(B98,'[4]현황(24년)'!$C$5:$D$245,2,0)</f>
        <v>966</v>
      </c>
      <c r="L98" s="26">
        <f>VLOOKUP(B98,'[5]현황(25년)'!$C$5:$D$233,2,0)</f>
        <v>1046</v>
      </c>
      <c r="M98" s="26">
        <f>VLOOKUP(B98,'[6]현황(26년)'!$C$5:$D$228,2,0)</f>
        <v>455</v>
      </c>
    </row>
    <row r="99" spans="1:13" s="1" customFormat="1">
      <c r="A99" s="27"/>
      <c r="B99" s="11" t="s">
        <v>170</v>
      </c>
      <c r="C99" s="11" t="s">
        <v>171</v>
      </c>
      <c r="D99" s="10" t="s">
        <v>501</v>
      </c>
      <c r="E99" s="10">
        <v>2020</v>
      </c>
      <c r="F99" s="11"/>
      <c r="G99" s="11">
        <v>19</v>
      </c>
      <c r="H99" s="26">
        <f>VLOOKUP(B99,'[1]현황(21년)'!$D$5:$E$275,2,0)</f>
        <v>702</v>
      </c>
      <c r="I99" s="26">
        <f>VLOOKUP(B99,'[2]현황(22년)'!$D$5:$E$275,2,0)</f>
        <v>521</v>
      </c>
      <c r="J99" s="26">
        <f>VLOOKUP(B99,'[3]현황(23년)'!$C$5:$D$264,2,0)</f>
        <v>1247</v>
      </c>
      <c r="K99" s="26">
        <f>VLOOKUP(B99,'[4]현황(24년)'!$C$5:$D$245,2,0)</f>
        <v>1556</v>
      </c>
      <c r="L99" s="26">
        <f>VLOOKUP(B99,'[5]현황(25년)'!$C$5:$D$233,2,0)</f>
        <v>1346</v>
      </c>
      <c r="M99" s="26">
        <f>VLOOKUP(B99,'[6]현황(26년)'!$C$5:$D$228,2,0)</f>
        <v>725</v>
      </c>
    </row>
    <row r="100" spans="1:13" s="1" customFormat="1">
      <c r="A100" s="27"/>
      <c r="B100" s="11" t="s">
        <v>172</v>
      </c>
      <c r="C100" s="11" t="s">
        <v>173</v>
      </c>
      <c r="D100" s="10" t="s">
        <v>501</v>
      </c>
      <c r="E100" s="10">
        <v>2016</v>
      </c>
      <c r="F100" s="11"/>
      <c r="G100" s="11">
        <v>19</v>
      </c>
      <c r="H100" s="26">
        <f>VLOOKUP(B100,'[1]현황(21년)'!$D$5:$E$275,2,0)</f>
        <v>3098</v>
      </c>
      <c r="I100" s="26">
        <f>VLOOKUP(B100,'[2]현황(22년)'!$D$5:$E$275,2,0)</f>
        <v>2915</v>
      </c>
      <c r="J100" s="26">
        <f>VLOOKUP(B100,'[3]현황(23년)'!$C$5:$D$264,2,0)</f>
        <v>3746</v>
      </c>
      <c r="K100" s="26">
        <f>VLOOKUP(B100,'[4]현황(24년)'!$C$5:$D$245,2,0)</f>
        <v>4187</v>
      </c>
      <c r="L100" s="26">
        <f>VLOOKUP(B100,'[5]현황(25년)'!$C$5:$D$233,2,0)</f>
        <v>3481</v>
      </c>
      <c r="M100" s="26">
        <f>VLOOKUP(B100,'[6]현황(26년)'!$C$5:$D$228,2,0)</f>
        <v>1742</v>
      </c>
    </row>
    <row r="101" spans="1:13" s="1" customFormat="1">
      <c r="A101" s="27"/>
      <c r="B101" s="11" t="s">
        <v>174</v>
      </c>
      <c r="C101" s="11" t="s">
        <v>175</v>
      </c>
      <c r="D101" s="10" t="s">
        <v>501</v>
      </c>
      <c r="E101" s="10">
        <v>2014</v>
      </c>
      <c r="F101" s="11"/>
      <c r="G101" s="11">
        <v>19</v>
      </c>
      <c r="H101" s="26">
        <f>VLOOKUP(B101,'[1]현황(21년)'!$D$5:$E$275,2,0)</f>
        <v>2114</v>
      </c>
      <c r="I101" s="26">
        <f>VLOOKUP(B101,'[2]현황(22년)'!$D$5:$E$275,2,0)</f>
        <v>1480</v>
      </c>
      <c r="J101" s="26">
        <f>VLOOKUP(B101,'[3]현황(23년)'!$C$5:$D$264,2,0)</f>
        <v>1043</v>
      </c>
      <c r="K101" s="26">
        <f>VLOOKUP(B101,'[4]현황(24년)'!$C$5:$D$245,2,0)</f>
        <v>950</v>
      </c>
      <c r="L101" s="26">
        <f>VLOOKUP(B101,'[5]현황(25년)'!$C$5:$D$233,2,0)</f>
        <v>579</v>
      </c>
      <c r="M101" s="26">
        <f>VLOOKUP(B101,'[6]현황(26년)'!$C$5:$D$228,2,0)</f>
        <v>360</v>
      </c>
    </row>
    <row r="102" spans="1:13" s="1" customFormat="1">
      <c r="A102" s="27"/>
      <c r="B102" s="11" t="s">
        <v>176</v>
      </c>
      <c r="C102" s="11" t="s">
        <v>177</v>
      </c>
      <c r="D102" s="10" t="s">
        <v>501</v>
      </c>
      <c r="E102" s="10">
        <v>2014</v>
      </c>
      <c r="F102" s="11"/>
      <c r="G102" s="11">
        <v>33</v>
      </c>
      <c r="H102" s="26">
        <f>VLOOKUP(B102,'[1]현황(21년)'!$D$5:$E$275,2,0)</f>
        <v>7235</v>
      </c>
      <c r="I102" s="26">
        <f>VLOOKUP(B102,'[2]현황(22년)'!$D$5:$E$275,2,0)</f>
        <v>5819</v>
      </c>
      <c r="J102" s="26">
        <f>VLOOKUP(B102,'[3]현황(23년)'!$C$5:$D$264,2,0)</f>
        <v>6960</v>
      </c>
      <c r="K102" s="26">
        <f>VLOOKUP(B102,'[4]현황(24년)'!$C$5:$D$245,2,0)</f>
        <v>6655</v>
      </c>
      <c r="L102" s="26">
        <f>VLOOKUP(B102,'[5]현황(25년)'!$C$5:$D$233,2,0)</f>
        <v>5848</v>
      </c>
      <c r="M102" s="26">
        <f>VLOOKUP(B102,'[6]현황(26년)'!$C$5:$D$228,2,0)</f>
        <v>3510</v>
      </c>
    </row>
    <row r="103" spans="1:13" s="1" customFormat="1">
      <c r="A103" s="27"/>
      <c r="B103" s="11" t="s">
        <v>178</v>
      </c>
      <c r="C103" s="11" t="s">
        <v>179</v>
      </c>
      <c r="D103" s="10" t="s">
        <v>501</v>
      </c>
      <c r="E103" s="10">
        <v>2013</v>
      </c>
      <c r="F103" s="11"/>
      <c r="G103" s="11">
        <v>19</v>
      </c>
      <c r="H103" s="26">
        <f>VLOOKUP(B103,'[1]현황(21년)'!$D$5:$E$275,2,0)</f>
        <v>3114</v>
      </c>
      <c r="I103" s="26">
        <f>VLOOKUP(B103,'[2]현황(22년)'!$D$5:$E$275,2,0)</f>
        <v>3748</v>
      </c>
      <c r="J103" s="26">
        <f>VLOOKUP(B103,'[3]현황(23년)'!$C$5:$D$264,2,0)</f>
        <v>3293</v>
      </c>
      <c r="K103" s="26">
        <f>VLOOKUP(B103,'[4]현황(24년)'!$C$5:$D$245,2,0)</f>
        <v>3336</v>
      </c>
      <c r="L103" s="26">
        <f>VLOOKUP(B103,'[5]현황(25년)'!$C$5:$D$233,2,0)</f>
        <v>2799</v>
      </c>
      <c r="M103" s="26">
        <f>VLOOKUP(B103,'[6]현황(26년)'!$C$5:$D$228,2,0)</f>
        <v>1221</v>
      </c>
    </row>
    <row r="104" spans="1:13" s="1" customFormat="1">
      <c r="A104" s="27"/>
      <c r="B104" s="11" t="s">
        <v>180</v>
      </c>
      <c r="C104" s="11" t="s">
        <v>181</v>
      </c>
      <c r="D104" s="10" t="s">
        <v>501</v>
      </c>
      <c r="E104" s="10" t="s">
        <v>565</v>
      </c>
      <c r="F104" s="11"/>
      <c r="G104" s="11">
        <v>19</v>
      </c>
      <c r="H104" s="26">
        <f>VLOOKUP(B104,'[1]현황(21년)'!$D$5:$E$275,2,0)</f>
        <v>2984</v>
      </c>
      <c r="I104" s="26">
        <f>VLOOKUP(B104,'[2]현황(22년)'!$D$5:$E$275,2,0)</f>
        <v>3135</v>
      </c>
      <c r="J104" s="26">
        <f>VLOOKUP(B104,'[3]현황(23년)'!$C$5:$D$264,2,0)</f>
        <v>3587</v>
      </c>
      <c r="K104" s="26">
        <f>VLOOKUP(B104,'[4]현황(24년)'!$C$5:$D$245,2,0)</f>
        <v>3063</v>
      </c>
      <c r="L104" s="26">
        <f>VLOOKUP(B104,'[5]현황(25년)'!$C$5:$D$233,2,0)</f>
        <v>2831</v>
      </c>
      <c r="M104" s="26">
        <f>VLOOKUP(B104,'[6]현황(26년)'!$C$5:$D$228,2,0)</f>
        <v>1096</v>
      </c>
    </row>
    <row r="105" spans="1:13" s="1" customFormat="1">
      <c r="A105" s="27"/>
      <c r="B105" s="11" t="s">
        <v>477</v>
      </c>
      <c r="C105" s="11" t="s">
        <v>596</v>
      </c>
      <c r="D105" s="10" t="s">
        <v>487</v>
      </c>
      <c r="E105" s="10">
        <v>2015</v>
      </c>
      <c r="F105" s="11">
        <v>2023</v>
      </c>
      <c r="G105" s="11">
        <v>19</v>
      </c>
      <c r="H105" s="26">
        <f>VLOOKUP(B105,'[1]현황(21년)'!$D$5:$E$275,2,0)</f>
        <v>3198</v>
      </c>
      <c r="I105" s="26">
        <f>VLOOKUP(B105,'[2]현황(22년)'!$D$5:$E$275,2,0)</f>
        <v>2893</v>
      </c>
      <c r="J105" s="26" t="s">
        <v>585</v>
      </c>
      <c r="K105" s="26" t="s">
        <v>585</v>
      </c>
      <c r="L105" s="26" t="s">
        <v>585</v>
      </c>
      <c r="M105" s="26" t="s">
        <v>585</v>
      </c>
    </row>
    <row r="106" spans="1:13" s="1" customFormat="1">
      <c r="A106" s="27"/>
      <c r="B106" s="11" t="s">
        <v>495</v>
      </c>
      <c r="C106" s="11" t="s">
        <v>182</v>
      </c>
      <c r="D106" s="10" t="s">
        <v>487</v>
      </c>
      <c r="E106" s="10">
        <v>2018</v>
      </c>
      <c r="F106" s="11">
        <v>2024</v>
      </c>
      <c r="G106" s="11">
        <v>19</v>
      </c>
      <c r="H106" s="26">
        <f>VLOOKUP(B106,'[1]현황(21년)'!$D$5:$E$275,2,0)</f>
        <v>1952</v>
      </c>
      <c r="I106" s="26">
        <f>VLOOKUP(B106,'[2]현황(22년)'!$D$5:$E$275,2,0)</f>
        <v>2005</v>
      </c>
      <c r="J106" s="26">
        <f>VLOOKUP(B106,'[3]현황(23년)'!$C$5:$D$264,2,0)</f>
        <v>2557</v>
      </c>
      <c r="K106" s="26" t="s">
        <v>585</v>
      </c>
      <c r="L106" s="26" t="s">
        <v>585</v>
      </c>
      <c r="M106" s="26" t="s">
        <v>585</v>
      </c>
    </row>
    <row r="107" spans="1:13" s="1" customFormat="1">
      <c r="A107" s="27" t="s">
        <v>183</v>
      </c>
      <c r="B107" s="11" t="s">
        <v>184</v>
      </c>
      <c r="C107" s="11" t="s">
        <v>185</v>
      </c>
      <c r="D107" s="10" t="s">
        <v>501</v>
      </c>
      <c r="E107" s="10">
        <v>2013</v>
      </c>
      <c r="F107" s="11"/>
      <c r="G107" s="11">
        <v>19</v>
      </c>
      <c r="H107" s="26">
        <f>VLOOKUP(B107,'[1]현황(21년)'!$D$5:$E$275,2,0)</f>
        <v>4397</v>
      </c>
      <c r="I107" s="26">
        <f>VLOOKUP(B107,'[2]현황(22년)'!$D$5:$E$275,2,0)</f>
        <v>3854</v>
      </c>
      <c r="J107" s="26">
        <f>VLOOKUP(B107,'[3]현황(23년)'!$C$5:$D$264,2,0)</f>
        <v>3345</v>
      </c>
      <c r="K107" s="26">
        <f>VLOOKUP(B107,'[4]현황(24년)'!$C$5:$D$245,2,0)</f>
        <v>3831</v>
      </c>
      <c r="L107" s="26">
        <f>VLOOKUP(B107,'[5]현황(25년)'!$C$5:$D$233,2,0)</f>
        <v>3732</v>
      </c>
      <c r="M107" s="26">
        <f>VLOOKUP(B107,'[6]현황(26년)'!$C$5:$D$228,2,0)</f>
        <v>2128</v>
      </c>
    </row>
    <row r="108" spans="1:13" s="1" customFormat="1">
      <c r="A108" s="27"/>
      <c r="B108" s="11" t="s">
        <v>186</v>
      </c>
      <c r="C108" s="11" t="s">
        <v>187</v>
      </c>
      <c r="D108" s="10" t="s">
        <v>501</v>
      </c>
      <c r="E108" s="10">
        <v>2013</v>
      </c>
      <c r="F108" s="11"/>
      <c r="G108" s="11">
        <v>26</v>
      </c>
      <c r="H108" s="26">
        <f>VLOOKUP(B108,'[1]현황(21년)'!$D$5:$E$275,2,0)</f>
        <v>4969</v>
      </c>
      <c r="I108" s="26">
        <f>VLOOKUP(B108,'[2]현황(22년)'!$D$5:$E$275,2,0)</f>
        <v>3642</v>
      </c>
      <c r="J108" s="26">
        <f>VLOOKUP(B108,'[3]현황(23년)'!$C$5:$D$264,2,0)</f>
        <v>2216</v>
      </c>
      <c r="K108" s="26">
        <f>VLOOKUP(B108,'[4]현황(24년)'!$C$5:$D$245,2,0)</f>
        <v>2582</v>
      </c>
      <c r="L108" s="26">
        <f>VLOOKUP(B108,'[5]현황(25년)'!$C$5:$D$233,2,0)</f>
        <v>2207</v>
      </c>
      <c r="M108" s="26">
        <f>VLOOKUP(B108,'[6]현황(26년)'!$C$5:$D$228,2,0)</f>
        <v>1188</v>
      </c>
    </row>
    <row r="109" spans="1:13" s="1" customFormat="1">
      <c r="A109" s="27"/>
      <c r="B109" s="11" t="s">
        <v>188</v>
      </c>
      <c r="C109" s="11" t="s">
        <v>189</v>
      </c>
      <c r="D109" s="10" t="s">
        <v>501</v>
      </c>
      <c r="E109" s="10">
        <v>2020</v>
      </c>
      <c r="F109" s="11"/>
      <c r="G109" s="11">
        <v>12</v>
      </c>
      <c r="H109" s="26">
        <f>VLOOKUP(B109,'[1]현황(21년)'!$D$5:$E$275,2,0)</f>
        <v>111</v>
      </c>
      <c r="I109" s="26">
        <f>VLOOKUP(B109,'[2]현황(22년)'!$D$5:$E$275,2,0)</f>
        <v>259</v>
      </c>
      <c r="J109" s="26">
        <f>VLOOKUP(B109,'[3]현황(23년)'!$C$5:$D$264,2,0)</f>
        <v>382</v>
      </c>
      <c r="K109" s="26">
        <f>VLOOKUP(B109,'[4]현황(24년)'!$C$5:$D$245,2,0)</f>
        <v>469</v>
      </c>
      <c r="L109" s="26">
        <f>VLOOKUP(B109,'[5]현황(25년)'!$C$5:$D$233,2,0)</f>
        <v>591</v>
      </c>
      <c r="M109" s="26">
        <f>VLOOKUP(B109,'[6]현황(26년)'!$C$5:$D$228,2,0)</f>
        <v>288</v>
      </c>
    </row>
    <row r="110" spans="1:13" s="1" customFormat="1">
      <c r="A110" s="27"/>
      <c r="B110" s="11" t="s">
        <v>190</v>
      </c>
      <c r="C110" s="11" t="s">
        <v>191</v>
      </c>
      <c r="D110" s="10" t="s">
        <v>501</v>
      </c>
      <c r="E110" s="10">
        <v>2016</v>
      </c>
      <c r="F110" s="11"/>
      <c r="G110" s="11">
        <v>19</v>
      </c>
      <c r="H110" s="26">
        <f>VLOOKUP(B110,'[1]현황(21년)'!$D$5:$E$275,2,0)</f>
        <v>2640</v>
      </c>
      <c r="I110" s="26">
        <f>VLOOKUP(B110,'[2]현황(22년)'!$D$5:$E$275,2,0)</f>
        <v>2192</v>
      </c>
      <c r="J110" s="26">
        <f>VLOOKUP(B110,'[3]현황(23년)'!$C$5:$D$264,2,0)</f>
        <v>3005</v>
      </c>
      <c r="K110" s="26">
        <f>VLOOKUP(B110,'[4]현황(24년)'!$C$5:$D$245,2,0)</f>
        <v>2324</v>
      </c>
      <c r="L110" s="26">
        <f>VLOOKUP(B110,'[5]현황(25년)'!$C$5:$D$233,2,0)</f>
        <v>2517</v>
      </c>
      <c r="M110" s="26">
        <f>VLOOKUP(B110,'[6]현황(26년)'!$C$5:$D$228,2,0)</f>
        <v>1123</v>
      </c>
    </row>
    <row r="111" spans="1:13" s="1" customFormat="1">
      <c r="A111" s="27"/>
      <c r="B111" s="11" t="s">
        <v>192</v>
      </c>
      <c r="C111" s="11" t="s">
        <v>193</v>
      </c>
      <c r="D111" s="10" t="s">
        <v>501</v>
      </c>
      <c r="E111" s="10">
        <v>2015</v>
      </c>
      <c r="F111" s="11"/>
      <c r="G111" s="11">
        <v>19</v>
      </c>
      <c r="H111" s="26">
        <f>VLOOKUP(B111,'[1]현황(21년)'!$D$5:$E$275,2,0)</f>
        <v>2382</v>
      </c>
      <c r="I111" s="26">
        <f>VLOOKUP(B111,'[2]현황(22년)'!$D$5:$E$275,2,0)</f>
        <v>2453</v>
      </c>
      <c r="J111" s="26">
        <f>VLOOKUP(B111,'[3]현황(23년)'!$C$5:$D$264,2,0)</f>
        <v>2493</v>
      </c>
      <c r="K111" s="26">
        <f>VLOOKUP(B111,'[4]현황(24년)'!$C$5:$D$245,2,0)</f>
        <v>2042</v>
      </c>
      <c r="L111" s="26">
        <f>VLOOKUP(B111,'[5]현황(25년)'!$C$5:$D$233,2,0)</f>
        <v>1950</v>
      </c>
      <c r="M111" s="26">
        <f>VLOOKUP(B111,'[6]현황(26년)'!$C$5:$D$228,2,0)</f>
        <v>1039</v>
      </c>
    </row>
    <row r="112" spans="1:13" s="1" customFormat="1">
      <c r="A112" s="27"/>
      <c r="B112" s="11" t="s">
        <v>572</v>
      </c>
      <c r="C112" s="11" t="s">
        <v>553</v>
      </c>
      <c r="D112" s="10" t="s">
        <v>487</v>
      </c>
      <c r="E112" s="10">
        <v>2016</v>
      </c>
      <c r="F112" s="11">
        <v>2024</v>
      </c>
      <c r="G112" s="11"/>
      <c r="H112" s="26">
        <f>VLOOKUP(B112,'[1]현황(21년)'!$D$5:$E$275,2,0)</f>
        <v>1130</v>
      </c>
      <c r="I112" s="26">
        <f>VLOOKUP(B112,'[2]현황(22년)'!$D$5:$E$275,2,0)</f>
        <v>1144</v>
      </c>
      <c r="J112" s="26">
        <f>VLOOKUP(B112,'[3]현황(23년)'!$C$5:$D$264,2,0)</f>
        <v>1201</v>
      </c>
      <c r="K112" s="26" t="s">
        <v>585</v>
      </c>
      <c r="L112" s="26" t="s">
        <v>585</v>
      </c>
      <c r="M112" s="26" t="s">
        <v>585</v>
      </c>
    </row>
    <row r="113" spans="1:13" s="1" customFormat="1">
      <c r="A113" s="27"/>
      <c r="B113" s="11" t="s">
        <v>534</v>
      </c>
      <c r="C113" s="11" t="s">
        <v>554</v>
      </c>
      <c r="D113" s="10" t="s">
        <v>487</v>
      </c>
      <c r="E113" s="10" t="s">
        <v>566</v>
      </c>
      <c r="F113" s="11">
        <v>2022</v>
      </c>
      <c r="G113" s="11"/>
      <c r="H113" s="26">
        <f>VLOOKUP(B113,'[1]현황(21년)'!$D$5:$E$275,2,0)</f>
        <v>21</v>
      </c>
      <c r="I113" s="26" t="s">
        <v>585</v>
      </c>
      <c r="J113" s="26" t="s">
        <v>585</v>
      </c>
      <c r="K113" s="26" t="s">
        <v>585</v>
      </c>
      <c r="L113" s="26" t="s">
        <v>585</v>
      </c>
      <c r="M113" s="26" t="s">
        <v>585</v>
      </c>
    </row>
    <row r="114" spans="1:13" s="1" customFormat="1">
      <c r="A114" s="27"/>
      <c r="B114" s="11" t="s">
        <v>535</v>
      </c>
      <c r="C114" s="11" t="s">
        <v>555</v>
      </c>
      <c r="D114" s="10" t="s">
        <v>487</v>
      </c>
      <c r="E114" s="10" t="s">
        <v>566</v>
      </c>
      <c r="F114" s="11">
        <v>2022</v>
      </c>
      <c r="G114" s="11"/>
      <c r="H114" s="26">
        <f>VLOOKUP(B114,'[1]현황(21년)'!$D$5:$E$275,2,0)</f>
        <v>185</v>
      </c>
      <c r="I114" s="26" t="s">
        <v>585</v>
      </c>
      <c r="J114" s="26" t="s">
        <v>585</v>
      </c>
      <c r="K114" s="26" t="s">
        <v>585</v>
      </c>
      <c r="L114" s="26" t="s">
        <v>585</v>
      </c>
      <c r="M114" s="26" t="s">
        <v>585</v>
      </c>
    </row>
    <row r="115" spans="1:13" s="1" customFormat="1">
      <c r="A115" s="27"/>
      <c r="B115" s="11" t="s">
        <v>194</v>
      </c>
      <c r="C115" s="11" t="s">
        <v>195</v>
      </c>
      <c r="D115" s="10" t="s">
        <v>501</v>
      </c>
      <c r="E115" s="10">
        <v>2014</v>
      </c>
      <c r="F115" s="11"/>
      <c r="G115" s="11">
        <v>26</v>
      </c>
      <c r="H115" s="26">
        <f>VLOOKUP(B115,'[1]현황(21년)'!$D$5:$E$275,2,0)</f>
        <v>3648</v>
      </c>
      <c r="I115" s="26">
        <f>VLOOKUP(B115,'[2]현황(22년)'!$D$5:$E$275,2,0)</f>
        <v>3983</v>
      </c>
      <c r="J115" s="26">
        <f>VLOOKUP(B115,'[3]현황(23년)'!$C$5:$D$264,2,0)</f>
        <v>4139</v>
      </c>
      <c r="K115" s="26">
        <f>VLOOKUP(B115,'[4]현황(24년)'!$C$5:$D$245,2,0)</f>
        <v>4826</v>
      </c>
      <c r="L115" s="26">
        <f>VLOOKUP(B115,'[5]현황(25년)'!$C$5:$D$233,2,0)</f>
        <v>4658</v>
      </c>
      <c r="M115" s="26">
        <f>VLOOKUP(B115,'[6]현황(26년)'!$C$5:$D$228,2,0)</f>
        <v>2185</v>
      </c>
    </row>
    <row r="116" spans="1:13" s="1" customFormat="1">
      <c r="A116" s="27"/>
      <c r="B116" s="11" t="s">
        <v>196</v>
      </c>
      <c r="C116" s="11" t="s">
        <v>197</v>
      </c>
      <c r="D116" s="10" t="s">
        <v>501</v>
      </c>
      <c r="E116" s="10">
        <v>2014</v>
      </c>
      <c r="F116" s="11"/>
      <c r="G116" s="11">
        <v>19</v>
      </c>
      <c r="H116" s="26">
        <f>VLOOKUP(B116,'[1]현황(21년)'!$D$5:$E$275,2,0)</f>
        <v>4028</v>
      </c>
      <c r="I116" s="26">
        <f>VLOOKUP(B116,'[2]현황(22년)'!$D$5:$E$275,2,0)</f>
        <v>4265</v>
      </c>
      <c r="J116" s="26">
        <f>VLOOKUP(B116,'[3]현황(23년)'!$C$5:$D$264,2,0)</f>
        <v>3872</v>
      </c>
      <c r="K116" s="26">
        <f>VLOOKUP(B116,'[4]현황(24년)'!$C$5:$D$245,2,0)</f>
        <v>4271</v>
      </c>
      <c r="L116" s="26">
        <f>VLOOKUP(B116,'[5]현황(25년)'!$C$5:$D$233,2,0)</f>
        <v>4459</v>
      </c>
      <c r="M116" s="26">
        <f>VLOOKUP(B116,'[6]현황(26년)'!$C$5:$D$228,2,0)</f>
        <v>1557</v>
      </c>
    </row>
    <row r="117" spans="1:13" s="1" customFormat="1">
      <c r="A117" s="27"/>
      <c r="B117" s="10" t="s">
        <v>589</v>
      </c>
      <c r="C117" s="11" t="s">
        <v>198</v>
      </c>
      <c r="D117" s="10" t="s">
        <v>508</v>
      </c>
      <c r="E117" s="10">
        <v>2014</v>
      </c>
      <c r="F117" s="11"/>
      <c r="G117" s="11">
        <v>19</v>
      </c>
      <c r="H117" s="26">
        <v>3729</v>
      </c>
      <c r="I117" s="26">
        <v>3426</v>
      </c>
      <c r="J117" s="26">
        <v>3220</v>
      </c>
      <c r="K117" s="26">
        <v>3841</v>
      </c>
      <c r="L117" s="26">
        <v>4014</v>
      </c>
      <c r="M117" s="26">
        <v>2037</v>
      </c>
    </row>
    <row r="118" spans="1:13" s="1" customFormat="1">
      <c r="A118" s="27"/>
      <c r="B118" s="11" t="s">
        <v>199</v>
      </c>
      <c r="C118" s="11" t="s">
        <v>200</v>
      </c>
      <c r="D118" s="10" t="s">
        <v>486</v>
      </c>
      <c r="E118" s="10">
        <v>2013</v>
      </c>
      <c r="F118" s="11">
        <v>2025</v>
      </c>
      <c r="G118" s="11">
        <v>33</v>
      </c>
      <c r="H118" s="26">
        <f>VLOOKUP(B118,'[1]현황(21년)'!$D$5:$E$275,2,0)</f>
        <v>6849</v>
      </c>
      <c r="I118" s="26">
        <f>VLOOKUP(B118,'[2]현황(22년)'!$D$5:$E$275,2,0)</f>
        <v>6472</v>
      </c>
      <c r="J118" s="26">
        <f>VLOOKUP(B118,'[3]현황(23년)'!$C$5:$D$264,2,0)</f>
        <v>6169</v>
      </c>
      <c r="K118" s="26">
        <f>VLOOKUP(B118,'[4]현황(24년)'!$C$5:$D$245,2,0)</f>
        <v>6509</v>
      </c>
      <c r="L118" s="26" t="s">
        <v>585</v>
      </c>
      <c r="M118" s="26" t="s">
        <v>585</v>
      </c>
    </row>
    <row r="119" spans="1:13" s="1" customFormat="1">
      <c r="A119" s="27" t="s">
        <v>201</v>
      </c>
      <c r="B119" s="11" t="s">
        <v>202</v>
      </c>
      <c r="C119" s="11" t="s">
        <v>203</v>
      </c>
      <c r="D119" s="10" t="s">
        <v>501</v>
      </c>
      <c r="E119" s="10">
        <v>2019</v>
      </c>
      <c r="F119" s="11"/>
      <c r="G119" s="11">
        <v>12</v>
      </c>
      <c r="H119" s="26">
        <f>VLOOKUP(B119,'[1]현황(21년)'!$D$5:$E$275,2,0)</f>
        <v>899</v>
      </c>
      <c r="I119" s="26">
        <f>VLOOKUP(B119,'[2]현황(22년)'!$D$5:$E$275,2,0)</f>
        <v>1307</v>
      </c>
      <c r="J119" s="26">
        <f>VLOOKUP(B119,'[3]현황(23년)'!$C$5:$D$264,2,0)</f>
        <v>1698</v>
      </c>
      <c r="K119" s="26">
        <f>VLOOKUP(B119,'[4]현황(24년)'!$C$5:$D$245,2,0)</f>
        <v>2345</v>
      </c>
      <c r="L119" s="26">
        <f>VLOOKUP(B119,'[5]현황(25년)'!$C$5:$D$233,2,0)</f>
        <v>2132</v>
      </c>
      <c r="M119" s="26">
        <f>VLOOKUP(B119,'[6]현황(26년)'!$C$5:$D$228,2,0)</f>
        <v>798</v>
      </c>
    </row>
    <row r="120" spans="1:13" s="1" customFormat="1">
      <c r="A120" s="27"/>
      <c r="B120" s="11" t="s">
        <v>512</v>
      </c>
      <c r="C120" s="11" t="s">
        <v>204</v>
      </c>
      <c r="D120" s="10" t="s">
        <v>508</v>
      </c>
      <c r="E120" s="10" t="s">
        <v>566</v>
      </c>
      <c r="F120" s="11"/>
      <c r="G120" s="11">
        <v>12</v>
      </c>
      <c r="H120" s="26">
        <f>VLOOKUP(B120,'[1]현황(21년)'!$D$5:$E$275,2,0)</f>
        <v>233</v>
      </c>
      <c r="I120" s="26">
        <f>VLOOKUP(B120,'[2]현황(22년)'!$D$5:$E$275,2,0)</f>
        <v>518</v>
      </c>
      <c r="J120" s="26">
        <f>VLOOKUP(B120,'[3]현황(23년)'!$C$5:$D$264,2,0)</f>
        <v>492</v>
      </c>
      <c r="K120" s="26">
        <f>VLOOKUP(B120,'[4]현황(24년)'!$C$5:$D$245,2,0)</f>
        <v>588</v>
      </c>
      <c r="L120" s="26">
        <f>VLOOKUP(B120,'[5]현황(25년)'!$C$5:$D$233,2,0)</f>
        <v>670</v>
      </c>
      <c r="M120" s="26">
        <f>VLOOKUP(B120,'[6]현황(26년)'!$C$5:$D$228,2,0)</f>
        <v>369</v>
      </c>
    </row>
    <row r="121" spans="1:13" s="1" customFormat="1">
      <c r="A121" s="27"/>
      <c r="B121" s="11" t="s">
        <v>513</v>
      </c>
      <c r="C121" s="11" t="s">
        <v>205</v>
      </c>
      <c r="D121" s="10" t="s">
        <v>508</v>
      </c>
      <c r="E121" s="10">
        <v>2022</v>
      </c>
      <c r="F121" s="11"/>
      <c r="G121" s="11">
        <v>12</v>
      </c>
      <c r="H121" s="26" t="s">
        <v>585</v>
      </c>
      <c r="I121" s="26">
        <f>VLOOKUP(B121,'[2]현황(22년)'!$D$5:$E$275,2,0)</f>
        <v>373</v>
      </c>
      <c r="J121" s="26">
        <f>VLOOKUP(B121,'[3]현황(23년)'!$C$5:$D$264,2,0)</f>
        <v>639</v>
      </c>
      <c r="K121" s="26">
        <f>VLOOKUP(B121,'[4]현황(24년)'!$C$5:$D$245,2,0)</f>
        <v>831</v>
      </c>
      <c r="L121" s="26">
        <f>VLOOKUP(B121,'[5]현황(25년)'!$C$5:$D$233,2,0)</f>
        <v>721</v>
      </c>
      <c r="M121" s="26">
        <f>VLOOKUP(B121,'[6]현황(26년)'!$C$5:$D$228,2,0)</f>
        <v>388</v>
      </c>
    </row>
    <row r="122" spans="1:13" s="1" customFormat="1">
      <c r="A122" s="27"/>
      <c r="B122" s="11" t="s">
        <v>206</v>
      </c>
      <c r="C122" s="11" t="s">
        <v>207</v>
      </c>
      <c r="D122" s="10" t="s">
        <v>501</v>
      </c>
      <c r="E122" s="10">
        <v>2019</v>
      </c>
      <c r="F122" s="11"/>
      <c r="G122" s="11">
        <v>12</v>
      </c>
      <c r="H122" s="26">
        <f>VLOOKUP(B122,'[1]현황(21년)'!$D$5:$E$275,2,0)</f>
        <v>920</v>
      </c>
      <c r="I122" s="26">
        <f>VLOOKUP(B122,'[2]현황(22년)'!$D$5:$E$275,2,0)</f>
        <v>1609.425</v>
      </c>
      <c r="J122" s="26">
        <f>VLOOKUP(B122,'[3]현황(23년)'!$C$5:$D$264,2,0)</f>
        <v>1761</v>
      </c>
      <c r="K122" s="26">
        <f>VLOOKUP(B122,'[4]현황(24년)'!$C$5:$D$245,2,0)</f>
        <v>1835</v>
      </c>
      <c r="L122" s="26">
        <f>VLOOKUP(B122,'[5]현황(25년)'!$C$5:$D$233,2,0)</f>
        <v>1572</v>
      </c>
      <c r="M122" s="26">
        <f>VLOOKUP(B122,'[6]현황(26년)'!$C$5:$D$228,2,0)</f>
        <v>457</v>
      </c>
    </row>
    <row r="123" spans="1:13" s="1" customFormat="1">
      <c r="A123" s="27"/>
      <c r="B123" s="11" t="s">
        <v>208</v>
      </c>
      <c r="C123" s="11" t="s">
        <v>209</v>
      </c>
      <c r="D123" s="10" t="s">
        <v>501</v>
      </c>
      <c r="E123" s="10">
        <v>2017</v>
      </c>
      <c r="F123" s="11"/>
      <c r="G123" s="11">
        <v>12</v>
      </c>
      <c r="H123" s="26">
        <f>VLOOKUP(B123,'[1]현황(21년)'!$D$5:$E$275,2,0)</f>
        <v>1645</v>
      </c>
      <c r="I123" s="26">
        <f>VLOOKUP(B123,'[2]현황(22년)'!$D$5:$E$275,2,0)</f>
        <v>1551</v>
      </c>
      <c r="J123" s="26">
        <f>VLOOKUP(B123,'[3]현황(23년)'!$C$5:$D$264,2,0)</f>
        <v>1441</v>
      </c>
      <c r="K123" s="26">
        <f>VLOOKUP(B123,'[4]현황(24년)'!$C$5:$D$245,2,0)</f>
        <v>1554</v>
      </c>
      <c r="L123" s="26">
        <f>VLOOKUP(B123,'[5]현황(25년)'!$C$5:$D$233,2,0)</f>
        <v>1407</v>
      </c>
      <c r="M123" s="26">
        <f>VLOOKUP(B123,'[6]현황(26년)'!$C$5:$D$228,2,0)</f>
        <v>806</v>
      </c>
    </row>
    <row r="124" spans="1:13" s="1" customFormat="1">
      <c r="A124" s="27"/>
      <c r="B124" s="11" t="s">
        <v>210</v>
      </c>
      <c r="C124" s="11" t="s">
        <v>211</v>
      </c>
      <c r="D124" s="10" t="s">
        <v>501</v>
      </c>
      <c r="E124" s="10">
        <v>2017</v>
      </c>
      <c r="F124" s="11"/>
      <c r="G124" s="11">
        <v>19</v>
      </c>
      <c r="H124" s="26">
        <f>VLOOKUP(B124,'[1]현황(21년)'!$D$5:$E$275,2,0)</f>
        <v>2592</v>
      </c>
      <c r="I124" s="26">
        <f>VLOOKUP(B124,'[2]현황(22년)'!$D$5:$E$275,2,0)</f>
        <v>1569</v>
      </c>
      <c r="J124" s="26">
        <f>VLOOKUP(B124,'[3]현황(23년)'!$C$5:$D$264,2,0)</f>
        <v>1323</v>
      </c>
      <c r="K124" s="26">
        <f>VLOOKUP(B124,'[4]현황(24년)'!$C$5:$D$245,2,0)</f>
        <v>1731</v>
      </c>
      <c r="L124" s="26">
        <f>VLOOKUP(B124,'[5]현황(25년)'!$C$5:$D$233,2,0)</f>
        <v>1557</v>
      </c>
      <c r="M124" s="26">
        <f>VLOOKUP(B124,'[6]현황(26년)'!$C$5:$D$228,2,0)</f>
        <v>577</v>
      </c>
    </row>
    <row r="125" spans="1:13" s="1" customFormat="1">
      <c r="A125" s="27"/>
      <c r="B125" s="11" t="s">
        <v>212</v>
      </c>
      <c r="C125" s="11" t="s">
        <v>213</v>
      </c>
      <c r="D125" s="10" t="s">
        <v>501</v>
      </c>
      <c r="E125" s="10">
        <v>2016</v>
      </c>
      <c r="F125" s="11"/>
      <c r="G125" s="11">
        <v>19</v>
      </c>
      <c r="H125" s="26">
        <f>VLOOKUP(B125,'[1]현황(21년)'!$D$5:$E$275,2,0)</f>
        <v>2522</v>
      </c>
      <c r="I125" s="26">
        <f>VLOOKUP(B125,'[2]현황(22년)'!$D$5:$E$275,2,0)</f>
        <v>1850</v>
      </c>
      <c r="J125" s="26">
        <f>VLOOKUP(B125,'[3]현황(23년)'!$C$5:$D$264,2,0)</f>
        <v>1278</v>
      </c>
      <c r="K125" s="26">
        <f>VLOOKUP(B125,'[4]현황(24년)'!$C$5:$D$245,2,0)</f>
        <v>1565</v>
      </c>
      <c r="L125" s="26">
        <f>VLOOKUP(B125,'[5]현황(25년)'!$C$5:$D$233,2,0)</f>
        <v>834</v>
      </c>
      <c r="M125" s="26">
        <f>VLOOKUP(B125,'[6]현황(26년)'!$C$5:$D$228,2,0)</f>
        <v>507</v>
      </c>
    </row>
    <row r="126" spans="1:13" s="1" customFormat="1">
      <c r="A126" s="27"/>
      <c r="B126" s="11" t="s">
        <v>214</v>
      </c>
      <c r="C126" s="11" t="s">
        <v>215</v>
      </c>
      <c r="D126" s="10" t="s">
        <v>501</v>
      </c>
      <c r="E126" s="10" t="s">
        <v>585</v>
      </c>
      <c r="F126" s="11"/>
      <c r="G126" s="11">
        <v>19</v>
      </c>
      <c r="H126" s="26">
        <f>VLOOKUP(B126,'[1]현황(21년)'!$D$5:$E$275,2,0)</f>
        <v>1992</v>
      </c>
      <c r="I126" s="26">
        <f>VLOOKUP(B126,'[2]현황(22년)'!$D$5:$E$275,2,0)</f>
        <v>1956</v>
      </c>
      <c r="J126" s="26">
        <f>VLOOKUP(B126,'[3]현황(23년)'!$C$5:$D$264,2,0)</f>
        <v>1636</v>
      </c>
      <c r="K126" s="26">
        <f>VLOOKUP(B126,'[4]현황(24년)'!$C$5:$D$245,2,0)</f>
        <v>1584</v>
      </c>
      <c r="L126" s="26">
        <f>VLOOKUP(B126,'[5]현황(25년)'!$C$5:$D$233,2,0)</f>
        <v>1512</v>
      </c>
      <c r="M126" s="26">
        <f>VLOOKUP(B126,'[6]현황(26년)'!$C$5:$D$228,2,0)</f>
        <v>621</v>
      </c>
    </row>
    <row r="127" spans="1:13" s="1" customFormat="1">
      <c r="A127" s="27"/>
      <c r="B127" s="11" t="s">
        <v>514</v>
      </c>
      <c r="C127" s="11" t="s">
        <v>216</v>
      </c>
      <c r="D127" s="10" t="s">
        <v>508</v>
      </c>
      <c r="E127" s="10">
        <v>2022</v>
      </c>
      <c r="F127" s="11"/>
      <c r="G127" s="11">
        <v>12</v>
      </c>
      <c r="H127" s="26" t="s">
        <v>585</v>
      </c>
      <c r="I127" s="26">
        <f>VLOOKUP(B127,'[2]현황(22년)'!$D$5:$E$275,2,0)</f>
        <v>588</v>
      </c>
      <c r="J127" s="26">
        <f>VLOOKUP(B127,'[3]현황(23년)'!$C$5:$D$264,2,0)</f>
        <v>434</v>
      </c>
      <c r="K127" s="26">
        <f>VLOOKUP(B127,'[4]현황(24년)'!$C$5:$D$245,2,0)</f>
        <v>691</v>
      </c>
      <c r="L127" s="26">
        <f>VLOOKUP(B127,'[5]현황(25년)'!$C$5:$D$233,2,0)</f>
        <v>611</v>
      </c>
      <c r="M127" s="26">
        <f>VLOOKUP(B127,'[6]현황(26년)'!$C$5:$D$228,2,0)</f>
        <v>248</v>
      </c>
    </row>
    <row r="128" spans="1:13" s="1" customFormat="1">
      <c r="A128" s="27"/>
      <c r="B128" s="11" t="s">
        <v>217</v>
      </c>
      <c r="C128" s="11" t="s">
        <v>218</v>
      </c>
      <c r="D128" s="10" t="s">
        <v>486</v>
      </c>
      <c r="E128" s="10">
        <v>2014</v>
      </c>
      <c r="F128" s="11">
        <v>2025</v>
      </c>
      <c r="G128" s="11">
        <v>12</v>
      </c>
      <c r="H128" s="26">
        <f>VLOOKUP(B128,'[1]현황(21년)'!$D$5:$E$275,2,0)</f>
        <v>557</v>
      </c>
      <c r="I128" s="26">
        <f>VLOOKUP(B128,'[2]현황(22년)'!$D$5:$E$275,2,0)</f>
        <v>540</v>
      </c>
      <c r="J128" s="26">
        <f>VLOOKUP(B128,'[3]현황(23년)'!$C$5:$D$264,2,0)</f>
        <v>374</v>
      </c>
      <c r="K128" s="26">
        <f>VLOOKUP(B128,'[4]현황(24년)'!$C$5:$D$245,2,0)</f>
        <v>319</v>
      </c>
      <c r="L128" s="26" t="s">
        <v>585</v>
      </c>
      <c r="M128" s="26" t="s">
        <v>585</v>
      </c>
    </row>
    <row r="129" spans="1:13" s="1" customFormat="1">
      <c r="A129" s="27"/>
      <c r="B129" s="11" t="s">
        <v>219</v>
      </c>
      <c r="C129" s="11" t="s">
        <v>220</v>
      </c>
      <c r="D129" s="10" t="s">
        <v>501</v>
      </c>
      <c r="E129" s="10">
        <v>2013</v>
      </c>
      <c r="F129" s="11"/>
      <c r="G129" s="11">
        <v>12</v>
      </c>
      <c r="H129" s="26">
        <f>VLOOKUP(B129,'[1]현황(21년)'!$D$5:$E$275,2,0)</f>
        <v>977</v>
      </c>
      <c r="I129" s="26">
        <f>VLOOKUP(B129,'[2]현황(22년)'!$D$5:$E$275,2,0)</f>
        <v>789</v>
      </c>
      <c r="J129" s="26">
        <f>VLOOKUP(B129,'[3]현황(23년)'!$C$5:$D$264,2,0)</f>
        <v>569</v>
      </c>
      <c r="K129" s="26">
        <f>VLOOKUP(B129,'[4]현황(24년)'!$C$5:$D$245,2,0)</f>
        <v>791</v>
      </c>
      <c r="L129" s="26">
        <f>VLOOKUP(B129,'[5]현황(25년)'!$C$5:$D$233,2,0)</f>
        <v>725</v>
      </c>
      <c r="M129" s="26">
        <f>VLOOKUP(B129,'[6]현황(26년)'!$C$5:$D$228,2,0)</f>
        <v>412</v>
      </c>
    </row>
    <row r="130" spans="1:13" s="1" customFormat="1">
      <c r="A130" s="27"/>
      <c r="B130" s="11" t="s">
        <v>221</v>
      </c>
      <c r="C130" s="11" t="s">
        <v>222</v>
      </c>
      <c r="D130" s="10" t="s">
        <v>501</v>
      </c>
      <c r="E130" s="10">
        <v>2013</v>
      </c>
      <c r="F130" s="11"/>
      <c r="G130" s="11">
        <v>26</v>
      </c>
      <c r="H130" s="26">
        <f>VLOOKUP(B130,'[1]현황(21년)'!$D$5:$E$275,2,0)</f>
        <v>6197</v>
      </c>
      <c r="I130" s="26">
        <f>VLOOKUP(B130,'[2]현황(22년)'!$D$5:$E$275,2,0)</f>
        <v>4940</v>
      </c>
      <c r="J130" s="26">
        <f>VLOOKUP(B130,'[3]현황(23년)'!$C$5:$D$264,2,0)</f>
        <v>4343</v>
      </c>
      <c r="K130" s="26">
        <f>VLOOKUP(B130,'[4]현황(24년)'!$C$5:$D$245,2,0)</f>
        <v>4873</v>
      </c>
      <c r="L130" s="26">
        <f>VLOOKUP(B130,'[5]현황(25년)'!$C$5:$D$233,2,0)</f>
        <v>4701</v>
      </c>
      <c r="M130" s="26">
        <f>VLOOKUP(B130,'[6]현황(26년)'!$C$5:$D$228,2,0)</f>
        <v>2189</v>
      </c>
    </row>
    <row r="131" spans="1:13" s="1" customFormat="1">
      <c r="A131" s="27"/>
      <c r="B131" s="11" t="s">
        <v>223</v>
      </c>
      <c r="C131" s="11" t="s">
        <v>224</v>
      </c>
      <c r="D131" s="10" t="s">
        <v>501</v>
      </c>
      <c r="E131" s="10">
        <v>2018</v>
      </c>
      <c r="F131" s="11"/>
      <c r="G131" s="11">
        <v>12</v>
      </c>
      <c r="H131" s="26">
        <f>VLOOKUP(B131,'[1]현황(21년)'!$D$5:$E$275,2,0)</f>
        <v>1284</v>
      </c>
      <c r="I131" s="26">
        <f>VLOOKUP(B131,'[2]현황(22년)'!$D$5:$E$275,2,0)</f>
        <v>1562</v>
      </c>
      <c r="J131" s="26">
        <f>VLOOKUP(B131,'[3]현황(23년)'!$C$5:$D$264,2,0)</f>
        <v>867</v>
      </c>
      <c r="K131" s="26">
        <f>VLOOKUP(B131,'[4]현황(24년)'!$C$5:$D$245,2,0)</f>
        <v>1182</v>
      </c>
      <c r="L131" s="26">
        <f>VLOOKUP(B131,'[5]현황(25년)'!$C$5:$D$233,2,0)</f>
        <v>1369</v>
      </c>
      <c r="M131" s="26">
        <f>VLOOKUP(B131,'[6]현황(26년)'!$C$5:$D$228,2,0)</f>
        <v>574</v>
      </c>
    </row>
    <row r="132" spans="1:13" s="1" customFormat="1">
      <c r="A132" s="27" t="s">
        <v>225</v>
      </c>
      <c r="B132" s="11" t="s">
        <v>226</v>
      </c>
      <c r="C132" s="11" t="s">
        <v>227</v>
      </c>
      <c r="D132" s="10" t="s">
        <v>501</v>
      </c>
      <c r="E132" s="10">
        <v>2019</v>
      </c>
      <c r="F132" s="11"/>
      <c r="G132" s="11">
        <v>12</v>
      </c>
      <c r="H132" s="26">
        <f>VLOOKUP(B132,'[1]현황(21년)'!$D$5:$E$275,2,0)</f>
        <v>1550</v>
      </c>
      <c r="I132" s="26">
        <f>VLOOKUP(B132,'[2]현황(22년)'!$D$5:$E$275,2,0)</f>
        <v>1334</v>
      </c>
      <c r="J132" s="26">
        <f>VLOOKUP(B132,'[3]현황(23년)'!$C$5:$D$264,2,0)</f>
        <v>666</v>
      </c>
      <c r="K132" s="26">
        <f>VLOOKUP(B132,'[4]현황(24년)'!$C$5:$D$245,2,0)</f>
        <v>713</v>
      </c>
      <c r="L132" s="26">
        <f>VLOOKUP(B132,'[5]현황(25년)'!$C$5:$D$233,2,0)</f>
        <v>555</v>
      </c>
      <c r="M132" s="26">
        <f>VLOOKUP(B132,'[6]현황(26년)'!$C$5:$D$228,2,0)</f>
        <v>323</v>
      </c>
    </row>
    <row r="133" spans="1:13" s="1" customFormat="1">
      <c r="A133" s="27"/>
      <c r="B133" s="11" t="s">
        <v>228</v>
      </c>
      <c r="C133" s="11" t="s">
        <v>229</v>
      </c>
      <c r="D133" s="10" t="s">
        <v>501</v>
      </c>
      <c r="E133" s="10">
        <v>2019</v>
      </c>
      <c r="F133" s="11"/>
      <c r="G133" s="11">
        <v>12</v>
      </c>
      <c r="H133" s="26">
        <f>VLOOKUP(B133,'[1]현황(21년)'!$D$5:$E$275,2,0)</f>
        <v>1255</v>
      </c>
      <c r="I133" s="26">
        <f>VLOOKUP(B133,'[2]현황(22년)'!$D$5:$E$275,2,0)</f>
        <v>1052</v>
      </c>
      <c r="J133" s="26">
        <f>VLOOKUP(B133,'[3]현황(23년)'!$C$5:$D$264,2,0)</f>
        <v>533</v>
      </c>
      <c r="K133" s="26">
        <f>VLOOKUP(B133,'[4]현황(24년)'!$C$5:$D$245,2,0)</f>
        <v>509</v>
      </c>
      <c r="L133" s="26">
        <f>VLOOKUP(B133,'[5]현황(25년)'!$C$5:$D$233,2,0)</f>
        <v>339</v>
      </c>
      <c r="M133" s="26">
        <f>VLOOKUP(B133,'[6]현황(26년)'!$C$5:$D$228,2,0)</f>
        <v>89</v>
      </c>
    </row>
    <row r="134" spans="1:13" s="1" customFormat="1">
      <c r="A134" s="27"/>
      <c r="B134" s="11" t="s">
        <v>230</v>
      </c>
      <c r="C134" s="11" t="s">
        <v>231</v>
      </c>
      <c r="D134" s="10" t="s">
        <v>501</v>
      </c>
      <c r="E134" s="10">
        <v>2013</v>
      </c>
      <c r="F134" s="11"/>
      <c r="G134" s="11">
        <v>19</v>
      </c>
      <c r="H134" s="26">
        <f>VLOOKUP(B134,'[1]현황(21년)'!$D$5:$E$275,2,0)</f>
        <v>2575</v>
      </c>
      <c r="I134" s="26">
        <f>VLOOKUP(B134,'[2]현황(22년)'!$D$5:$E$275,2,0)</f>
        <v>3133</v>
      </c>
      <c r="J134" s="26">
        <f>VLOOKUP(B134,'[3]현황(23년)'!$C$5:$D$264,2,0)</f>
        <v>2989</v>
      </c>
      <c r="K134" s="26">
        <f>VLOOKUP(B134,'[4]현황(24년)'!$C$5:$D$245,2,0)</f>
        <v>3259</v>
      </c>
      <c r="L134" s="26">
        <f>VLOOKUP(B134,'[5]현황(25년)'!$C$5:$D$233,2,0)</f>
        <v>2895</v>
      </c>
      <c r="M134" s="26">
        <f>VLOOKUP(B134,'[6]현황(26년)'!$C$5:$D$228,2,0)</f>
        <v>966</v>
      </c>
    </row>
    <row r="135" spans="1:13" s="1" customFormat="1">
      <c r="A135" s="27"/>
      <c r="B135" s="11" t="s">
        <v>515</v>
      </c>
      <c r="C135" s="11" t="s">
        <v>232</v>
      </c>
      <c r="D135" s="10" t="s">
        <v>501</v>
      </c>
      <c r="E135" s="10">
        <v>2021</v>
      </c>
      <c r="F135" s="11"/>
      <c r="G135" s="11">
        <v>19</v>
      </c>
      <c r="H135" s="26">
        <f>VLOOKUP(B135,'[1]현황(21년)'!$D$5:$E$275,2,0)</f>
        <v>249</v>
      </c>
      <c r="I135" s="26">
        <f>VLOOKUP(B135,'[2]현황(22년)'!$D$5:$E$275,2,0)</f>
        <v>1519</v>
      </c>
      <c r="J135" s="26">
        <f>VLOOKUP(B135,'[3]현황(23년)'!$C$5:$D$264,2,0)</f>
        <v>1194</v>
      </c>
      <c r="K135" s="26">
        <f>VLOOKUP(B135,'[4]현황(24년)'!$C$5:$D$245,2,0)</f>
        <v>1946</v>
      </c>
      <c r="L135" s="26">
        <f>VLOOKUP(B135,'[5]현황(25년)'!$C$5:$D$233,2,0)</f>
        <v>1800</v>
      </c>
      <c r="M135" s="26">
        <f>VLOOKUP(B135,'[6]현황(26년)'!$C$5:$D$228,2,0)</f>
        <v>855</v>
      </c>
    </row>
    <row r="136" spans="1:13" s="1" customFormat="1">
      <c r="A136" s="27"/>
      <c r="B136" s="11" t="s">
        <v>233</v>
      </c>
      <c r="C136" s="11" t="s">
        <v>234</v>
      </c>
      <c r="D136" s="10" t="s">
        <v>501</v>
      </c>
      <c r="E136" s="10">
        <v>2021</v>
      </c>
      <c r="F136" s="11"/>
      <c r="G136" s="11">
        <v>19</v>
      </c>
      <c r="H136" s="26">
        <f>VLOOKUP(B136,'[1]현황(21년)'!$D$5:$E$275,2,0)</f>
        <v>592</v>
      </c>
      <c r="I136" s="26">
        <f>VLOOKUP(B136,'[2]현황(22년)'!$D$5:$E$275,2,0)</f>
        <v>3202</v>
      </c>
      <c r="J136" s="26">
        <f>VLOOKUP(B136,'[3]현황(23년)'!$C$5:$D$264,2,0)</f>
        <v>3212</v>
      </c>
      <c r="K136" s="26">
        <f>VLOOKUP(B136,'[4]현황(24년)'!$C$5:$D$245,2,0)</f>
        <v>3284</v>
      </c>
      <c r="L136" s="26">
        <f>VLOOKUP(B136,'[5]현황(25년)'!$C$5:$D$233,2,0)</f>
        <v>2864</v>
      </c>
      <c r="M136" s="26">
        <f>VLOOKUP(B136,'[6]현황(26년)'!$C$5:$D$228,2,0)</f>
        <v>837</v>
      </c>
    </row>
    <row r="137" spans="1:13" s="1" customFormat="1">
      <c r="A137" s="27"/>
      <c r="B137" s="11" t="s">
        <v>235</v>
      </c>
      <c r="C137" s="11" t="s">
        <v>236</v>
      </c>
      <c r="D137" s="10" t="s">
        <v>501</v>
      </c>
      <c r="E137" s="10">
        <v>2021</v>
      </c>
      <c r="F137" s="11"/>
      <c r="G137" s="11">
        <v>12</v>
      </c>
      <c r="H137" s="26">
        <v>12</v>
      </c>
      <c r="I137" s="26">
        <f>VLOOKUP(B137,'[2]현황(22년)'!$D$5:$E$275,2,0)</f>
        <v>182</v>
      </c>
      <c r="J137" s="26">
        <f>VLOOKUP(B137,'[3]현황(23년)'!$C$5:$D$264,2,0)</f>
        <v>975</v>
      </c>
      <c r="K137" s="26">
        <f>VLOOKUP(B137,'[4]현황(24년)'!$C$5:$D$245,2,0)</f>
        <v>1446</v>
      </c>
      <c r="L137" s="26">
        <f>VLOOKUP(B137,'[5]현황(25년)'!$C$5:$D$233,2,0)</f>
        <v>1104</v>
      </c>
      <c r="M137" s="26">
        <f>VLOOKUP(B137,'[6]현황(26년)'!$C$5:$D$228,2,0)</f>
        <v>335</v>
      </c>
    </row>
    <row r="138" spans="1:13" s="1" customFormat="1">
      <c r="A138" s="27"/>
      <c r="B138" s="11" t="s">
        <v>237</v>
      </c>
      <c r="C138" s="11" t="s">
        <v>238</v>
      </c>
      <c r="D138" s="10" t="s">
        <v>501</v>
      </c>
      <c r="E138" s="10">
        <v>2020</v>
      </c>
      <c r="F138" s="11"/>
      <c r="G138" s="11">
        <v>12</v>
      </c>
      <c r="H138" s="26">
        <f>VLOOKUP(B138,'[1]현황(21년)'!$D$5:$E$275,2,0)</f>
        <v>634</v>
      </c>
      <c r="I138" s="26">
        <f>VLOOKUP(B138,'[2]현황(22년)'!$D$5:$E$275,2,0)</f>
        <v>924</v>
      </c>
      <c r="J138" s="26">
        <f>VLOOKUP(B138,'[3]현황(23년)'!$C$5:$D$264,2,0)</f>
        <v>871</v>
      </c>
      <c r="K138" s="26">
        <f>VLOOKUP(B138,'[4]현황(24년)'!$C$5:$D$245,2,0)</f>
        <v>429</v>
      </c>
      <c r="L138" s="26">
        <f>VLOOKUP(B138,'[5]현황(25년)'!$C$5:$D$233,2,0)</f>
        <v>614</v>
      </c>
      <c r="M138" s="26">
        <f>VLOOKUP(B138,'[6]현황(26년)'!$C$5:$D$228,2,0)</f>
        <v>439</v>
      </c>
    </row>
    <row r="139" spans="1:13" s="1" customFormat="1">
      <c r="A139" s="27"/>
      <c r="B139" s="11" t="s">
        <v>516</v>
      </c>
      <c r="C139" s="11" t="s">
        <v>239</v>
      </c>
      <c r="D139" s="10" t="s">
        <v>508</v>
      </c>
      <c r="E139" s="10" t="s">
        <v>566</v>
      </c>
      <c r="F139" s="11"/>
      <c r="G139" s="11">
        <v>19</v>
      </c>
      <c r="H139" s="26">
        <f>VLOOKUP(B139,'[1]현황(21년)'!$D$5:$E$275,2,0)</f>
        <v>229</v>
      </c>
      <c r="I139" s="26">
        <f>VLOOKUP(B139,'[2]현황(22년)'!$D$5:$E$275,2,0)</f>
        <v>195</v>
      </c>
      <c r="J139" s="26">
        <f>VLOOKUP(B139,'[3]현황(23년)'!$C$5:$D$264,2,0)</f>
        <v>172</v>
      </c>
      <c r="K139" s="26">
        <f>VLOOKUP(B139,'[4]현황(24년)'!$C$5:$D$245,2,0)</f>
        <v>804</v>
      </c>
      <c r="L139" s="26">
        <f>VLOOKUP(B139,'[5]현황(25년)'!$C$5:$D$233,2,0)</f>
        <v>780</v>
      </c>
      <c r="M139" s="26">
        <f>VLOOKUP(B139,'[6]현황(26년)'!$C$5:$D$228,2,0)</f>
        <v>516</v>
      </c>
    </row>
    <row r="140" spans="1:13" s="1" customFormat="1">
      <c r="A140" s="27"/>
      <c r="B140" s="11" t="s">
        <v>240</v>
      </c>
      <c r="C140" s="11" t="s">
        <v>241</v>
      </c>
      <c r="D140" s="10" t="s">
        <v>501</v>
      </c>
      <c r="E140" s="10">
        <v>2017</v>
      </c>
      <c r="F140" s="11"/>
      <c r="G140" s="11">
        <v>19</v>
      </c>
      <c r="H140" s="26">
        <f>VLOOKUP(B140,'[1]현황(21년)'!$D$5:$E$275,2,0)</f>
        <v>2593</v>
      </c>
      <c r="I140" s="26">
        <f>VLOOKUP(B140,'[2]현황(22년)'!$D$5:$E$275,2,0)</f>
        <v>1978</v>
      </c>
      <c r="J140" s="26">
        <f>VLOOKUP(B140,'[3]현황(23년)'!$C$5:$D$264,2,0)</f>
        <v>1939</v>
      </c>
      <c r="K140" s="26">
        <f>VLOOKUP(B140,'[4]현황(24년)'!$C$5:$D$245,2,0)</f>
        <v>2009</v>
      </c>
      <c r="L140" s="26">
        <f>VLOOKUP(B140,'[5]현황(25년)'!$C$5:$D$233,2,0)</f>
        <v>2023</v>
      </c>
      <c r="M140" s="26">
        <f>VLOOKUP(B140,'[6]현황(26년)'!$C$5:$D$228,2,0)</f>
        <v>1128</v>
      </c>
    </row>
    <row r="141" spans="1:13" s="1" customFormat="1">
      <c r="A141" s="27"/>
      <c r="B141" s="11" t="s">
        <v>242</v>
      </c>
      <c r="C141" s="11" t="s">
        <v>243</v>
      </c>
      <c r="D141" s="10" t="s">
        <v>501</v>
      </c>
      <c r="E141" s="10">
        <v>2016</v>
      </c>
      <c r="F141" s="11"/>
      <c r="G141" s="11">
        <v>19</v>
      </c>
      <c r="H141" s="26">
        <f>VLOOKUP(B141,'[1]현황(21년)'!$D$5:$E$275,2,0)</f>
        <v>2948</v>
      </c>
      <c r="I141" s="26">
        <f>VLOOKUP(B141,'[2]현황(22년)'!$D$5:$E$275,2,0)</f>
        <v>2108</v>
      </c>
      <c r="J141" s="26">
        <f>VLOOKUP(B141,'[3]현황(23년)'!$C$5:$D$264,2,0)</f>
        <v>1636</v>
      </c>
      <c r="K141" s="26">
        <f>VLOOKUP(B141,'[4]현황(24년)'!$C$5:$D$245,2,0)</f>
        <v>1578</v>
      </c>
      <c r="L141" s="26">
        <f>VLOOKUP(B141,'[5]현황(25년)'!$C$5:$D$233,2,0)</f>
        <v>2151</v>
      </c>
      <c r="M141" s="26">
        <f>VLOOKUP(B141,'[6]현황(26년)'!$C$5:$D$228,2,0)</f>
        <v>857</v>
      </c>
    </row>
    <row r="142" spans="1:13" s="1" customFormat="1">
      <c r="A142" s="27"/>
      <c r="B142" s="11" t="s">
        <v>244</v>
      </c>
      <c r="C142" s="11" t="s">
        <v>245</v>
      </c>
      <c r="D142" s="10" t="s">
        <v>501</v>
      </c>
      <c r="E142" s="10">
        <v>2015</v>
      </c>
      <c r="F142" s="11"/>
      <c r="G142" s="11">
        <v>19</v>
      </c>
      <c r="H142" s="26">
        <f>VLOOKUP(B142,'[1]현황(21년)'!$D$5:$E$275,2,0)</f>
        <v>1966</v>
      </c>
      <c r="I142" s="26">
        <f>VLOOKUP(B142,'[2]현황(22년)'!$D$5:$E$275,2,0)</f>
        <v>1680</v>
      </c>
      <c r="J142" s="26">
        <f>VLOOKUP(B142,'[3]현황(23년)'!$C$5:$D$264,2,0)</f>
        <v>1433</v>
      </c>
      <c r="K142" s="26">
        <f>VLOOKUP(B142,'[4]현황(24년)'!$C$5:$D$245,2,0)</f>
        <v>1375</v>
      </c>
      <c r="L142" s="26">
        <f>VLOOKUP(B142,'[5]현황(25년)'!$C$5:$D$233,2,0)</f>
        <v>1230</v>
      </c>
      <c r="M142" s="26">
        <f>VLOOKUP(B142,'[6]현황(26년)'!$C$5:$D$228,2,0)</f>
        <v>274</v>
      </c>
    </row>
    <row r="143" spans="1:13" s="1" customFormat="1">
      <c r="A143" s="27"/>
      <c r="B143" s="11" t="s">
        <v>246</v>
      </c>
      <c r="C143" s="11" t="s">
        <v>247</v>
      </c>
      <c r="D143" s="10" t="s">
        <v>501</v>
      </c>
      <c r="E143" s="10">
        <v>2014</v>
      </c>
      <c r="F143" s="11"/>
      <c r="G143" s="11">
        <v>19</v>
      </c>
      <c r="H143" s="26">
        <f>VLOOKUP(B143,'[1]현황(21년)'!$D$5:$E$275,2,0)</f>
        <v>2598</v>
      </c>
      <c r="I143" s="26">
        <f>VLOOKUP(B143,'[2]현황(22년)'!$D$5:$E$275,2,0)</f>
        <v>3078</v>
      </c>
      <c r="J143" s="26">
        <f>VLOOKUP(B143,'[3]현황(23년)'!$C$5:$D$264,2,0)</f>
        <v>4044</v>
      </c>
      <c r="K143" s="26">
        <f>VLOOKUP(B143,'[4]현황(24년)'!$C$5:$D$245,2,0)</f>
        <v>3806</v>
      </c>
      <c r="L143" s="26">
        <f>VLOOKUP(B143,'[5]현황(25년)'!$C$5:$D$233,2,0)</f>
        <v>3311</v>
      </c>
      <c r="M143" s="26">
        <f>VLOOKUP(B143,'[6]현황(26년)'!$C$5:$D$228,2,0)</f>
        <v>1394</v>
      </c>
    </row>
    <row r="144" spans="1:13" s="1" customFormat="1">
      <c r="A144" s="27"/>
      <c r="B144" s="11" t="s">
        <v>248</v>
      </c>
      <c r="C144" s="11" t="s">
        <v>249</v>
      </c>
      <c r="D144" s="10" t="s">
        <v>501</v>
      </c>
      <c r="E144" s="10">
        <v>2014</v>
      </c>
      <c r="F144" s="11"/>
      <c r="G144" s="11">
        <v>19</v>
      </c>
      <c r="H144" s="26">
        <f>VLOOKUP(B144,'[1]현황(21년)'!$D$5:$E$275,2,0)</f>
        <v>2769</v>
      </c>
      <c r="I144" s="26">
        <f>VLOOKUP(B144,'[2]현황(22년)'!$D$5:$E$275,2,0)</f>
        <v>2752</v>
      </c>
      <c r="J144" s="26">
        <f>VLOOKUP(B144,'[3]현황(23년)'!$C$5:$D$264,2,0)</f>
        <v>3348</v>
      </c>
      <c r="K144" s="26">
        <f>VLOOKUP(B144,'[4]현황(24년)'!$C$5:$D$245,2,0)</f>
        <v>2591</v>
      </c>
      <c r="L144" s="26">
        <f>VLOOKUP(B144,'[5]현황(25년)'!$C$5:$D$233,2,0)</f>
        <v>2294</v>
      </c>
      <c r="M144" s="26">
        <f>VLOOKUP(B144,'[6]현황(26년)'!$C$5:$D$228,2,0)</f>
        <v>1189</v>
      </c>
    </row>
    <row r="145" spans="1:13" s="1" customFormat="1">
      <c r="A145" s="27"/>
      <c r="B145" s="11" t="s">
        <v>250</v>
      </c>
      <c r="C145" s="11" t="s">
        <v>251</v>
      </c>
      <c r="D145" s="10" t="s">
        <v>501</v>
      </c>
      <c r="E145" s="10">
        <v>2013</v>
      </c>
      <c r="F145" s="11"/>
      <c r="G145" s="11">
        <v>26</v>
      </c>
      <c r="H145" s="26">
        <f>VLOOKUP(B145,'[1]현황(21년)'!$D$5:$E$275,2,0)</f>
        <v>3604</v>
      </c>
      <c r="I145" s="26">
        <f>VLOOKUP(B145,'[2]현황(22년)'!$D$5:$E$275,2,0)</f>
        <v>4190</v>
      </c>
      <c r="J145" s="26">
        <f>VLOOKUP(B145,'[3]현황(23년)'!$C$5:$D$264,2,0)</f>
        <v>3604</v>
      </c>
      <c r="K145" s="26">
        <f>VLOOKUP(B145,'[4]현황(24년)'!$C$5:$D$245,2,0)</f>
        <v>3158</v>
      </c>
      <c r="L145" s="26">
        <f>VLOOKUP(B145,'[5]현황(25년)'!$C$5:$D$233,2,0)</f>
        <v>3036</v>
      </c>
      <c r="M145" s="26">
        <f>VLOOKUP(B145,'[6]현황(26년)'!$C$5:$D$228,2,0)</f>
        <v>1870</v>
      </c>
    </row>
    <row r="146" spans="1:13" s="1" customFormat="1">
      <c r="A146" s="27"/>
      <c r="B146" s="11" t="s">
        <v>252</v>
      </c>
      <c r="C146" s="11" t="s">
        <v>253</v>
      </c>
      <c r="D146" s="10" t="s">
        <v>501</v>
      </c>
      <c r="E146" s="10">
        <v>2013</v>
      </c>
      <c r="F146" s="11"/>
      <c r="G146" s="11">
        <v>26</v>
      </c>
      <c r="H146" s="26">
        <f>VLOOKUP(B146,'[1]현황(21년)'!$D$5:$E$275,2,0)</f>
        <v>4511</v>
      </c>
      <c r="I146" s="26">
        <f>VLOOKUP(B146,'[2]현황(22년)'!$D$5:$E$275,2,0)</f>
        <v>4331</v>
      </c>
      <c r="J146" s="26">
        <f>VLOOKUP(B146,'[3]현황(23년)'!$C$5:$D$264,2,0)</f>
        <v>3904</v>
      </c>
      <c r="K146" s="26">
        <f>VLOOKUP(B146,'[4]현황(24년)'!$C$5:$D$245,2,0)</f>
        <v>5011</v>
      </c>
      <c r="L146" s="26">
        <f>VLOOKUP(B146,'[5]현황(25년)'!$C$5:$D$233,2,0)</f>
        <v>4510</v>
      </c>
      <c r="M146" s="26">
        <f>VLOOKUP(B146,'[6]현황(26년)'!$C$5:$D$228,2,0)</f>
        <v>2694</v>
      </c>
    </row>
    <row r="147" spans="1:13" s="1" customFormat="1">
      <c r="A147" s="27" t="s">
        <v>254</v>
      </c>
      <c r="B147" s="11" t="s">
        <v>496</v>
      </c>
      <c r="C147" s="11" t="s">
        <v>255</v>
      </c>
      <c r="D147" s="10" t="s">
        <v>487</v>
      </c>
      <c r="E147" s="10" t="s">
        <v>566</v>
      </c>
      <c r="F147" s="11">
        <v>2024</v>
      </c>
      <c r="G147" s="11">
        <v>12</v>
      </c>
      <c r="H147" s="26">
        <f>VLOOKUP(B147,'[1]현황(21년)'!$D$5:$E$275,2,0)</f>
        <v>163</v>
      </c>
      <c r="I147" s="26">
        <f>VLOOKUP(B147,'[2]현황(22년)'!$D$5:$E$275,2,0)</f>
        <v>399</v>
      </c>
      <c r="J147" s="26">
        <f>VLOOKUP(B147,'[3]현황(23년)'!$C$5:$D$264,2,0)</f>
        <v>235</v>
      </c>
      <c r="K147" s="26" t="s">
        <v>585</v>
      </c>
      <c r="L147" s="26" t="s">
        <v>585</v>
      </c>
      <c r="M147" s="26" t="s">
        <v>585</v>
      </c>
    </row>
    <row r="148" spans="1:13" s="1" customFormat="1">
      <c r="A148" s="27"/>
      <c r="B148" s="11" t="s">
        <v>256</v>
      </c>
      <c r="C148" s="11" t="s">
        <v>257</v>
      </c>
      <c r="D148" s="10" t="s">
        <v>501</v>
      </c>
      <c r="E148" s="10">
        <v>2017</v>
      </c>
      <c r="F148" s="11"/>
      <c r="G148" s="11">
        <v>19</v>
      </c>
      <c r="H148" s="26">
        <f>VLOOKUP(B148,'[1]현황(21년)'!$D$5:$E$275,2,0)</f>
        <v>3951</v>
      </c>
      <c r="I148" s="26">
        <f>VLOOKUP(B148,'[2]현황(22년)'!$D$5:$E$275,2,0)</f>
        <v>4003</v>
      </c>
      <c r="J148" s="26">
        <f>VLOOKUP(B148,'[3]현황(23년)'!$C$5:$D$264,2,0)</f>
        <v>4026</v>
      </c>
      <c r="K148" s="26">
        <f>VLOOKUP(B148,'[4]현황(24년)'!$C$5:$D$245,2,0)</f>
        <v>5132</v>
      </c>
      <c r="L148" s="26">
        <f>VLOOKUP(B148,'[5]현황(25년)'!$C$5:$D$233,2,0)</f>
        <v>5032</v>
      </c>
      <c r="M148" s="26">
        <f>VLOOKUP(B148,'[6]현황(26년)'!$C$5:$D$228,2,0)</f>
        <v>2563</v>
      </c>
    </row>
    <row r="149" spans="1:13" s="1" customFormat="1">
      <c r="A149" s="27"/>
      <c r="B149" s="11" t="s">
        <v>258</v>
      </c>
      <c r="C149" s="11" t="s">
        <v>259</v>
      </c>
      <c r="D149" s="10" t="s">
        <v>501</v>
      </c>
      <c r="E149" s="10">
        <v>2016</v>
      </c>
      <c r="F149" s="11"/>
      <c r="G149" s="11">
        <v>19</v>
      </c>
      <c r="H149" s="26">
        <f>VLOOKUP(B149,'[1]현황(21년)'!$D$5:$E$275,2,0)</f>
        <v>3447</v>
      </c>
      <c r="I149" s="26">
        <f>VLOOKUP(B149,'[2]현황(22년)'!$D$5:$E$275,2,0)</f>
        <v>4033</v>
      </c>
      <c r="J149" s="26">
        <f>VLOOKUP(B149,'[3]현황(23년)'!$C$5:$D$264,2,0)</f>
        <v>2662</v>
      </c>
      <c r="K149" s="26">
        <f>VLOOKUP(B149,'[4]현황(24년)'!$C$5:$D$245,2,0)</f>
        <v>2754</v>
      </c>
      <c r="L149" s="26">
        <f>VLOOKUP(B149,'[5]현황(25년)'!$C$5:$D$233,2,0)</f>
        <v>3043</v>
      </c>
      <c r="M149" s="26">
        <f>VLOOKUP(B149,'[6]현황(26년)'!$C$5:$D$228,2,0)</f>
        <v>1217</v>
      </c>
    </row>
    <row r="150" spans="1:13" s="1" customFormat="1">
      <c r="A150" s="27"/>
      <c r="B150" s="11" t="s">
        <v>260</v>
      </c>
      <c r="C150" s="11" t="s">
        <v>261</v>
      </c>
      <c r="D150" s="10" t="s">
        <v>501</v>
      </c>
      <c r="E150" s="10">
        <v>2016</v>
      </c>
      <c r="F150" s="11"/>
      <c r="G150" s="11">
        <v>19</v>
      </c>
      <c r="H150" s="26">
        <f>VLOOKUP(B150,'[1]현황(21년)'!$D$5:$E$275,2,0)</f>
        <v>1770</v>
      </c>
      <c r="I150" s="26">
        <f>VLOOKUP(B150,'[2]현황(22년)'!$D$5:$E$275,2,0)</f>
        <v>2721</v>
      </c>
      <c r="J150" s="26">
        <f>VLOOKUP(B150,'[3]현황(23년)'!$C$5:$D$264,2,0)</f>
        <v>2287</v>
      </c>
      <c r="K150" s="26">
        <f>VLOOKUP(B150,'[4]현황(24년)'!$C$5:$D$245,2,0)</f>
        <v>2319</v>
      </c>
      <c r="L150" s="26">
        <f>VLOOKUP(B150,'[5]현황(25년)'!$C$5:$D$233,2,0)</f>
        <v>2347</v>
      </c>
      <c r="M150" s="26">
        <f>VLOOKUP(B150,'[6]현황(26년)'!$C$5:$D$228,2,0)</f>
        <v>916</v>
      </c>
    </row>
    <row r="151" spans="1:13" s="1" customFormat="1">
      <c r="A151" s="27"/>
      <c r="B151" s="11" t="s">
        <v>262</v>
      </c>
      <c r="C151" s="11" t="s">
        <v>263</v>
      </c>
      <c r="D151" s="10" t="s">
        <v>501</v>
      </c>
      <c r="E151" s="10">
        <v>2016</v>
      </c>
      <c r="F151" s="11"/>
      <c r="G151" s="11">
        <v>19</v>
      </c>
      <c r="H151" s="26">
        <f>VLOOKUP(B151,'[1]현황(21년)'!$D$5:$E$275,2,0)</f>
        <v>3991</v>
      </c>
      <c r="I151" s="26">
        <f>VLOOKUP(B151,'[2]현황(22년)'!$D$5:$E$275,2,0)</f>
        <v>4359</v>
      </c>
      <c r="J151" s="26">
        <f>VLOOKUP(B151,'[3]현황(23년)'!$C$5:$D$264,2,0)</f>
        <v>4127</v>
      </c>
      <c r="K151" s="26">
        <f>VLOOKUP(B151,'[4]현황(24년)'!$C$5:$D$245,2,0)</f>
        <v>3640</v>
      </c>
      <c r="L151" s="26">
        <f>VLOOKUP(B151,'[5]현황(25년)'!$C$5:$D$233,2,0)</f>
        <v>3076</v>
      </c>
      <c r="M151" s="26">
        <f>VLOOKUP(B151,'[6]현황(26년)'!$C$5:$D$228,2,0)</f>
        <v>1443</v>
      </c>
    </row>
    <row r="152" spans="1:13" s="1" customFormat="1">
      <c r="A152" s="27"/>
      <c r="B152" s="11" t="s">
        <v>264</v>
      </c>
      <c r="C152" s="11" t="s">
        <v>265</v>
      </c>
      <c r="D152" s="10" t="s">
        <v>501</v>
      </c>
      <c r="E152" s="10">
        <v>2015</v>
      </c>
      <c r="F152" s="11"/>
      <c r="G152" s="11">
        <v>19</v>
      </c>
      <c r="H152" s="26">
        <f>VLOOKUP(B152,'[1]현황(21년)'!$D$5:$E$275,2,0)</f>
        <v>3775</v>
      </c>
      <c r="I152" s="26">
        <f>VLOOKUP(B152,'[2]현황(22년)'!$D$5:$E$275,2,0)</f>
        <v>3154</v>
      </c>
      <c r="J152" s="26">
        <f>VLOOKUP(B152,'[3]현황(23년)'!$C$5:$D$264,2,0)</f>
        <v>2349</v>
      </c>
      <c r="K152" s="26">
        <f>VLOOKUP(B152,'[4]현황(24년)'!$C$5:$D$245,2,0)</f>
        <v>2540</v>
      </c>
      <c r="L152" s="26">
        <f>VLOOKUP(B152,'[5]현황(25년)'!$C$5:$D$233,2,0)</f>
        <v>2330</v>
      </c>
      <c r="M152" s="26">
        <f>VLOOKUP(B152,'[6]현황(26년)'!$C$5:$D$228,2,0)</f>
        <v>1175</v>
      </c>
    </row>
    <row r="153" spans="1:13" s="1" customFormat="1">
      <c r="A153" s="27"/>
      <c r="B153" s="11" t="s">
        <v>266</v>
      </c>
      <c r="C153" s="11" t="s">
        <v>267</v>
      </c>
      <c r="D153" s="10" t="s">
        <v>501</v>
      </c>
      <c r="E153" s="10">
        <v>2014</v>
      </c>
      <c r="F153" s="11"/>
      <c r="G153" s="11">
        <v>19</v>
      </c>
      <c r="H153" s="26">
        <f>VLOOKUP(B153,'[1]현황(21년)'!$D$5:$E$275,2,0)</f>
        <v>2024</v>
      </c>
      <c r="I153" s="26">
        <f>VLOOKUP(B153,'[2]현황(22년)'!$D$5:$E$275,2,0)</f>
        <v>1322</v>
      </c>
      <c r="J153" s="26">
        <f>VLOOKUP(B153,'[3]현황(23년)'!$C$5:$D$264,2,0)</f>
        <v>1416</v>
      </c>
      <c r="K153" s="26">
        <f>VLOOKUP(B153,'[4]현황(24년)'!$C$5:$D$245,2,0)</f>
        <v>2062</v>
      </c>
      <c r="L153" s="26">
        <f>VLOOKUP(B153,'[5]현황(25년)'!$C$5:$D$233,2,0)</f>
        <v>1711</v>
      </c>
      <c r="M153" s="26">
        <f>VLOOKUP(B153,'[6]현황(26년)'!$C$5:$D$228,2,0)</f>
        <v>725</v>
      </c>
    </row>
    <row r="154" spans="1:13" s="1" customFormat="1">
      <c r="A154" s="27"/>
      <c r="B154" s="11" t="s">
        <v>268</v>
      </c>
      <c r="C154" s="11" t="s">
        <v>269</v>
      </c>
      <c r="D154" s="10" t="s">
        <v>501</v>
      </c>
      <c r="E154" s="10">
        <v>2014</v>
      </c>
      <c r="F154" s="11"/>
      <c r="G154" s="11">
        <v>19</v>
      </c>
      <c r="H154" s="26">
        <f>VLOOKUP(B154,'[1]현황(21년)'!$D$5:$E$275,2,0)</f>
        <v>2792</v>
      </c>
      <c r="I154" s="26">
        <f>VLOOKUP(B154,'[2]현황(22년)'!$D$5:$E$275,2,0)</f>
        <v>1772</v>
      </c>
      <c r="J154" s="26">
        <f>VLOOKUP(B154,'[3]현황(23년)'!$C$5:$D$264,2,0)</f>
        <v>1528</v>
      </c>
      <c r="K154" s="26">
        <f>VLOOKUP(B154,'[4]현황(24년)'!$C$5:$D$245,2,0)</f>
        <v>1300</v>
      </c>
      <c r="L154" s="26">
        <f>VLOOKUP(B154,'[5]현황(25년)'!$C$5:$D$233,2,0)</f>
        <v>1104</v>
      </c>
      <c r="M154" s="26">
        <f>VLOOKUP(B154,'[6]현황(26년)'!$C$5:$D$228,2,0)</f>
        <v>471</v>
      </c>
    </row>
    <row r="155" spans="1:13" s="1" customFormat="1">
      <c r="A155" s="27"/>
      <c r="B155" s="11" t="s">
        <v>270</v>
      </c>
      <c r="C155" s="11" t="s">
        <v>271</v>
      </c>
      <c r="D155" s="10" t="s">
        <v>501</v>
      </c>
      <c r="E155" s="10">
        <v>2013</v>
      </c>
      <c r="F155" s="11"/>
      <c r="G155" s="11">
        <v>19</v>
      </c>
      <c r="H155" s="26">
        <f>VLOOKUP(B155,'[1]현황(21년)'!$D$5:$E$275,2,0)</f>
        <v>1789</v>
      </c>
      <c r="I155" s="26">
        <f>VLOOKUP(B155,'[2]현황(22년)'!$D$5:$E$275,2,0)</f>
        <v>1496</v>
      </c>
      <c r="J155" s="26">
        <f>VLOOKUP(B155,'[3]현황(23년)'!$C$5:$D$264,2,0)</f>
        <v>1704</v>
      </c>
      <c r="K155" s="26">
        <f>VLOOKUP(B155,'[4]현황(24년)'!$C$5:$D$245,2,0)</f>
        <v>1618</v>
      </c>
      <c r="L155" s="26">
        <f>VLOOKUP(B155,'[5]현황(25년)'!$C$5:$D$233,2,0)</f>
        <v>1530</v>
      </c>
      <c r="M155" s="26">
        <f>VLOOKUP(B155,'[6]현황(26년)'!$C$5:$D$228,2,0)</f>
        <v>676</v>
      </c>
    </row>
    <row r="156" spans="1:13" s="1" customFormat="1">
      <c r="A156" s="27"/>
      <c r="B156" s="11" t="s">
        <v>517</v>
      </c>
      <c r="C156" s="11" t="s">
        <v>272</v>
      </c>
      <c r="D156" s="10" t="s">
        <v>508</v>
      </c>
      <c r="E156" s="10">
        <v>2013</v>
      </c>
      <c r="F156" s="11"/>
      <c r="G156" s="11">
        <v>19</v>
      </c>
      <c r="H156" s="26">
        <f>VLOOKUP(B156,'[1]현황(21년)'!$D$5:$E$275,2,0)</f>
        <v>2621</v>
      </c>
      <c r="I156" s="26">
        <f>VLOOKUP(B156,'[2]현황(22년)'!$D$5:$E$275,2,0)</f>
        <v>2486</v>
      </c>
      <c r="J156" s="26">
        <f>VLOOKUP(B156,'[3]현황(23년)'!$C$5:$D$264,2,0)</f>
        <v>2494</v>
      </c>
      <c r="K156" s="26">
        <f>VLOOKUP(B156,'[4]현황(24년)'!$C$5:$D$245,2,0)</f>
        <v>2459</v>
      </c>
      <c r="L156" s="26">
        <f>VLOOKUP(B156,'[5]현황(25년)'!$C$5:$D$233,2,0)</f>
        <v>2012</v>
      </c>
      <c r="M156" s="26">
        <f>VLOOKUP(B156,'[6]현황(26년)'!$C$5:$D$228,2,0)</f>
        <v>1276</v>
      </c>
    </row>
    <row r="157" spans="1:13" s="1" customFormat="1">
      <c r="A157" s="27"/>
      <c r="B157" s="11" t="s">
        <v>536</v>
      </c>
      <c r="C157" s="11" t="s">
        <v>556</v>
      </c>
      <c r="D157" s="10" t="s">
        <v>487</v>
      </c>
      <c r="E157" s="10" t="s">
        <v>566</v>
      </c>
      <c r="F157" s="11">
        <v>2023</v>
      </c>
      <c r="G157" s="11"/>
      <c r="H157" s="26">
        <f>VLOOKUP(B157,'[1]현황(21년)'!$D$5:$E$275,2,0)</f>
        <v>1</v>
      </c>
      <c r="I157" s="26">
        <f>VLOOKUP(B157,'[2]현황(22년)'!$D$5:$E$275,2,0)</f>
        <v>102</v>
      </c>
      <c r="J157" s="26" t="s">
        <v>585</v>
      </c>
      <c r="K157" s="26" t="s">
        <v>585</v>
      </c>
      <c r="L157" s="26" t="s">
        <v>585</v>
      </c>
      <c r="M157" s="26" t="s">
        <v>585</v>
      </c>
    </row>
    <row r="158" spans="1:13" s="1" customFormat="1">
      <c r="A158" s="27"/>
      <c r="B158" s="11" t="s">
        <v>273</v>
      </c>
      <c r="C158" s="11" t="s">
        <v>274</v>
      </c>
      <c r="D158" s="10" t="s">
        <v>501</v>
      </c>
      <c r="E158" s="10">
        <v>2018</v>
      </c>
      <c r="F158" s="11"/>
      <c r="G158" s="11">
        <v>12</v>
      </c>
      <c r="H158" s="26">
        <f>VLOOKUP(B158,'[1]현황(21년)'!$D$5:$E$275,2,0)</f>
        <v>814</v>
      </c>
      <c r="I158" s="26">
        <f>VLOOKUP(B158,'[2]현황(22년)'!$D$5:$E$275,2,0)</f>
        <v>930</v>
      </c>
      <c r="J158" s="26">
        <f>VLOOKUP(B158,'[3]현황(23년)'!$C$5:$D$264,2,0)</f>
        <v>1190</v>
      </c>
      <c r="K158" s="26">
        <f>VLOOKUP(B158,'[4]현황(24년)'!$C$5:$D$245,2,0)</f>
        <v>1348</v>
      </c>
      <c r="L158" s="26">
        <f>VLOOKUP(B158,'[5]현황(25년)'!$C$5:$D$233,2,0)</f>
        <v>1136</v>
      </c>
      <c r="M158" s="26">
        <f>VLOOKUP(B158,'[6]현황(26년)'!$C$5:$D$228,2,0)</f>
        <v>542</v>
      </c>
    </row>
    <row r="159" spans="1:13" s="1" customFormat="1">
      <c r="A159" s="27" t="s">
        <v>275</v>
      </c>
      <c r="B159" s="11" t="s">
        <v>276</v>
      </c>
      <c r="C159" s="11" t="s">
        <v>562</v>
      </c>
      <c r="D159" s="10" t="s">
        <v>501</v>
      </c>
      <c r="E159" s="10">
        <v>2021</v>
      </c>
      <c r="F159" s="11"/>
      <c r="G159" s="11">
        <v>12</v>
      </c>
      <c r="H159" s="26">
        <f>VLOOKUP(B159,'[1]현황(21년)'!$D$5:$E$275,2,0)</f>
        <v>108</v>
      </c>
      <c r="I159" s="26">
        <f>VLOOKUP(B159,'[2]현황(22년)'!$D$5:$E$275,2,0)</f>
        <v>429</v>
      </c>
      <c r="J159" s="26">
        <f>VLOOKUP(B159,'[3]현황(23년)'!$C$5:$D$264,2,0)</f>
        <v>612</v>
      </c>
      <c r="K159" s="26">
        <f>VLOOKUP(B159,'[4]현황(24년)'!$C$5:$D$245,2,0)</f>
        <v>446</v>
      </c>
      <c r="L159" s="26">
        <f>VLOOKUP(B159,'[5]현황(25년)'!$C$5:$D$233,2,0)</f>
        <v>378</v>
      </c>
      <c r="M159" s="26">
        <f>VLOOKUP(B159,'[6]현황(26년)'!$C$5:$D$228,2,0)</f>
        <v>181</v>
      </c>
    </row>
    <row r="160" spans="1:13" s="1" customFormat="1">
      <c r="A160" s="27"/>
      <c r="B160" s="11" t="s">
        <v>277</v>
      </c>
      <c r="C160" s="11" t="s">
        <v>278</v>
      </c>
      <c r="D160" s="10" t="s">
        <v>501</v>
      </c>
      <c r="E160" s="10">
        <v>2019</v>
      </c>
      <c r="F160" s="11"/>
      <c r="G160" s="11">
        <v>12</v>
      </c>
      <c r="H160" s="26">
        <f>VLOOKUP(B160,'[1]현황(21년)'!$D$5:$E$275,2,0)</f>
        <v>869</v>
      </c>
      <c r="I160" s="26">
        <f>VLOOKUP(B160,'[2]현황(22년)'!$D$5:$E$275,2,0)</f>
        <v>956</v>
      </c>
      <c r="J160" s="26">
        <f>VLOOKUP(B160,'[3]현황(23년)'!$C$5:$D$264,2,0)</f>
        <v>822</v>
      </c>
      <c r="K160" s="26">
        <f>VLOOKUP(B160,'[4]현황(24년)'!$C$5:$D$245,2,0)</f>
        <v>735</v>
      </c>
      <c r="L160" s="26">
        <f>VLOOKUP(B160,'[5]현황(25년)'!$C$5:$D$233,2,0)</f>
        <v>1191</v>
      </c>
      <c r="M160" s="26">
        <f>VLOOKUP(B160,'[6]현황(26년)'!$C$5:$D$228,2,0)</f>
        <v>469</v>
      </c>
    </row>
    <row r="161" spans="1:13" s="1" customFormat="1">
      <c r="A161" s="27"/>
      <c r="B161" s="11" t="s">
        <v>279</v>
      </c>
      <c r="C161" s="11" t="s">
        <v>280</v>
      </c>
      <c r="D161" s="10" t="s">
        <v>501</v>
      </c>
      <c r="E161" s="10">
        <v>2017</v>
      </c>
      <c r="F161" s="11"/>
      <c r="G161" s="11">
        <v>19</v>
      </c>
      <c r="H161" s="26">
        <f>VLOOKUP(B161,'[1]현황(21년)'!$D$5:$E$275,2,0)</f>
        <v>3167</v>
      </c>
      <c r="I161" s="26">
        <f>VLOOKUP(B161,'[2]현황(22년)'!$D$5:$E$275,2,0)</f>
        <v>2793</v>
      </c>
      <c r="J161" s="26">
        <f>VLOOKUP(B161,'[3]현황(23년)'!$C$5:$D$264,2,0)</f>
        <v>2500</v>
      </c>
      <c r="K161" s="26">
        <f>VLOOKUP(B161,'[4]현황(24년)'!$C$5:$D$245,2,0)</f>
        <v>2170</v>
      </c>
      <c r="L161" s="26">
        <f>VLOOKUP(B161,'[5]현황(25년)'!$C$5:$D$233,2,0)</f>
        <v>2504</v>
      </c>
      <c r="M161" s="26">
        <f>VLOOKUP(B161,'[6]현황(26년)'!$C$5:$D$228,2,0)</f>
        <v>1125</v>
      </c>
    </row>
    <row r="162" spans="1:13" s="1" customFormat="1">
      <c r="A162" s="27"/>
      <c r="B162" s="11" t="s">
        <v>281</v>
      </c>
      <c r="C162" s="11" t="s">
        <v>282</v>
      </c>
      <c r="D162" s="10" t="s">
        <v>501</v>
      </c>
      <c r="E162" s="10">
        <v>2016</v>
      </c>
      <c r="F162" s="11"/>
      <c r="G162" s="11">
        <v>19</v>
      </c>
      <c r="H162" s="26">
        <f>VLOOKUP(B162,'[1]현황(21년)'!$D$5:$E$275,2,0)</f>
        <v>2778</v>
      </c>
      <c r="I162" s="26">
        <f>VLOOKUP(B162,'[2]현황(22년)'!$D$5:$E$275,2,0)</f>
        <v>2754</v>
      </c>
      <c r="J162" s="26">
        <f>VLOOKUP(B162,'[3]현황(23년)'!$C$5:$D$264,2,0)</f>
        <v>1730</v>
      </c>
      <c r="K162" s="26">
        <f>VLOOKUP(B162,'[4]현황(24년)'!$C$5:$D$245,2,0)</f>
        <v>1908</v>
      </c>
      <c r="L162" s="26">
        <f>VLOOKUP(B162,'[5]현황(25년)'!$C$5:$D$233,2,0)</f>
        <v>1958</v>
      </c>
      <c r="M162" s="26">
        <f>VLOOKUP(B162,'[6]현황(26년)'!$C$5:$D$228,2,0)</f>
        <v>789</v>
      </c>
    </row>
    <row r="163" spans="1:13" s="1" customFormat="1">
      <c r="A163" s="27"/>
      <c r="B163" s="11" t="s">
        <v>283</v>
      </c>
      <c r="C163" s="11" t="s">
        <v>284</v>
      </c>
      <c r="D163" s="10" t="s">
        <v>501</v>
      </c>
      <c r="E163" s="10">
        <v>2015</v>
      </c>
      <c r="F163" s="11"/>
      <c r="G163" s="11">
        <v>19</v>
      </c>
      <c r="H163" s="26">
        <f>VLOOKUP(B163,'[1]현황(21년)'!$D$5:$E$275,2,0)</f>
        <v>2761</v>
      </c>
      <c r="I163" s="26">
        <f>VLOOKUP(B163,'[2]현황(22년)'!$D$5:$E$275,2,0)</f>
        <v>2147</v>
      </c>
      <c r="J163" s="26">
        <f>VLOOKUP(B163,'[3]현황(23년)'!$C$5:$D$264,2,0)</f>
        <v>2415</v>
      </c>
      <c r="K163" s="26">
        <f>VLOOKUP(B163,'[4]현황(24년)'!$C$5:$D$245,2,0)</f>
        <v>2943</v>
      </c>
      <c r="L163" s="26">
        <f>VLOOKUP(B163,'[5]현황(25년)'!$C$5:$D$233,2,0)</f>
        <v>2143</v>
      </c>
      <c r="M163" s="26">
        <f>VLOOKUP(B163,'[6]현황(26년)'!$C$5:$D$228,2,0)</f>
        <v>772</v>
      </c>
    </row>
    <row r="164" spans="1:13" s="1" customFormat="1">
      <c r="A164" s="27"/>
      <c r="B164" s="11" t="s">
        <v>590</v>
      </c>
      <c r="C164" s="11" t="s">
        <v>286</v>
      </c>
      <c r="D164" s="10" t="s">
        <v>501</v>
      </c>
      <c r="E164" s="10">
        <v>2014</v>
      </c>
      <c r="F164" s="11"/>
      <c r="G164" s="11">
        <v>19</v>
      </c>
      <c r="H164" s="26">
        <v>99</v>
      </c>
      <c r="I164" s="26">
        <v>1178</v>
      </c>
      <c r="J164" s="26">
        <v>2263</v>
      </c>
      <c r="K164" s="26">
        <v>2026</v>
      </c>
      <c r="L164" s="26">
        <v>2200</v>
      </c>
      <c r="M164" s="26">
        <v>873</v>
      </c>
    </row>
    <row r="165" spans="1:13" s="1" customFormat="1">
      <c r="A165" s="27"/>
      <c r="B165" s="11" t="s">
        <v>287</v>
      </c>
      <c r="C165" s="11" t="s">
        <v>288</v>
      </c>
      <c r="D165" s="10" t="s">
        <v>501</v>
      </c>
      <c r="E165" s="10">
        <v>2014</v>
      </c>
      <c r="F165" s="11"/>
      <c r="G165" s="11">
        <v>19</v>
      </c>
      <c r="H165" s="26">
        <f>VLOOKUP(B165,'[1]현황(21년)'!$D$5:$E$275,2,0)</f>
        <v>2000</v>
      </c>
      <c r="I165" s="26">
        <f>VLOOKUP(B165,'[2]현황(22년)'!$D$5:$E$275,2,0)</f>
        <v>1532</v>
      </c>
      <c r="J165" s="26">
        <f>VLOOKUP(B165,'[3]현황(23년)'!$C$5:$D$264,2,0)</f>
        <v>1181</v>
      </c>
      <c r="K165" s="26">
        <f>VLOOKUP(B165,'[4]현황(24년)'!$C$5:$D$245,2,0)</f>
        <v>1032</v>
      </c>
      <c r="L165" s="26">
        <f>VLOOKUP(B165,'[5]현황(25년)'!$C$5:$D$233,2,0)</f>
        <v>1259</v>
      </c>
      <c r="M165" s="26">
        <f>VLOOKUP(B165,'[6]현황(26년)'!$C$5:$D$228,2,0)</f>
        <v>620</v>
      </c>
    </row>
    <row r="166" spans="1:13" s="1" customFormat="1">
      <c r="A166" s="27"/>
      <c r="B166" s="11" t="s">
        <v>289</v>
      </c>
      <c r="C166" s="11" t="s">
        <v>290</v>
      </c>
      <c r="D166" s="10" t="s">
        <v>501</v>
      </c>
      <c r="E166" s="10">
        <v>2014</v>
      </c>
      <c r="F166" s="11"/>
      <c r="G166" s="11">
        <v>19</v>
      </c>
      <c r="H166" s="26">
        <f>VLOOKUP(B166,'[1]현황(21년)'!$D$5:$E$275,2,0)</f>
        <v>3108</v>
      </c>
      <c r="I166" s="26">
        <f>VLOOKUP(B166,'[2]현황(22년)'!$D$5:$E$275,2,0)</f>
        <v>2760</v>
      </c>
      <c r="J166" s="26">
        <f>VLOOKUP(B166,'[3]현황(23년)'!$C$5:$D$264,2,0)</f>
        <v>3313</v>
      </c>
      <c r="K166" s="26">
        <f>VLOOKUP(B166,'[4]현황(24년)'!$C$5:$D$245,2,0)</f>
        <v>3601</v>
      </c>
      <c r="L166" s="26">
        <f>VLOOKUP(B166,'[5]현황(25년)'!$C$5:$D$233,2,0)</f>
        <v>3046</v>
      </c>
      <c r="M166" s="26">
        <f>VLOOKUP(B166,'[6]현황(26년)'!$C$5:$D$228,2,0)</f>
        <v>1456</v>
      </c>
    </row>
    <row r="167" spans="1:13" s="1" customFormat="1">
      <c r="A167" s="27"/>
      <c r="B167" s="11" t="s">
        <v>291</v>
      </c>
      <c r="C167" s="11" t="s">
        <v>292</v>
      </c>
      <c r="D167" s="10" t="s">
        <v>501</v>
      </c>
      <c r="E167" s="10">
        <v>2013</v>
      </c>
      <c r="F167" s="11"/>
      <c r="G167" s="11">
        <v>26</v>
      </c>
      <c r="H167" s="26">
        <f>VLOOKUP(B167,'[1]현황(21년)'!$D$5:$E$275,2,0)</f>
        <v>3205</v>
      </c>
      <c r="I167" s="26">
        <f>VLOOKUP(B167,'[2]현황(22년)'!$D$5:$E$275,2,0)</f>
        <v>2535</v>
      </c>
      <c r="J167" s="26">
        <f>VLOOKUP(B167,'[3]현황(23년)'!$C$5:$D$264,2,0)</f>
        <v>2325</v>
      </c>
      <c r="K167" s="26">
        <f>VLOOKUP(B167,'[4]현황(24년)'!$C$5:$D$245,2,0)</f>
        <v>2238</v>
      </c>
      <c r="L167" s="26">
        <f>VLOOKUP(B167,'[5]현황(25년)'!$C$5:$D$233,2,0)</f>
        <v>2012</v>
      </c>
      <c r="M167" s="26">
        <f>VLOOKUP(B167,'[6]현황(26년)'!$C$5:$D$228,2,0)</f>
        <v>983</v>
      </c>
    </row>
    <row r="168" spans="1:13" s="1" customFormat="1">
      <c r="A168" s="27"/>
      <c r="B168" s="11" t="s">
        <v>518</v>
      </c>
      <c r="C168" s="11" t="s">
        <v>293</v>
      </c>
      <c r="D168" s="10" t="s">
        <v>508</v>
      </c>
      <c r="E168" s="10">
        <v>2013</v>
      </c>
      <c r="F168" s="11"/>
      <c r="G168" s="11">
        <v>26</v>
      </c>
      <c r="H168" s="26">
        <f>VLOOKUP(B168,'[1]현황(21년)'!$D$5:$E$275,2,0)</f>
        <v>4122</v>
      </c>
      <c r="I168" s="26">
        <f>VLOOKUP(B168,'[2]현황(22년)'!$D$5:$E$275,2,0)</f>
        <v>4096</v>
      </c>
      <c r="J168" s="26">
        <f>VLOOKUP(B168,'[3]현황(23년)'!$C$5:$D$264,2,0)</f>
        <v>3521</v>
      </c>
      <c r="K168" s="26">
        <f>VLOOKUP(B168,'[4]현황(24년)'!$C$5:$D$245,2,0)</f>
        <v>3425</v>
      </c>
      <c r="L168" s="26">
        <f>VLOOKUP(B168,'[5]현황(25년)'!$C$5:$D$233,2,0)</f>
        <v>3153</v>
      </c>
      <c r="M168" s="26">
        <f>VLOOKUP(B168,'[6]현황(26년)'!$C$5:$D$228,2,0)</f>
        <v>1282</v>
      </c>
    </row>
    <row r="169" spans="1:13" s="1" customFormat="1">
      <c r="A169" s="27"/>
      <c r="B169" s="11" t="s">
        <v>519</v>
      </c>
      <c r="C169" s="11" t="s">
        <v>294</v>
      </c>
      <c r="D169" s="10" t="s">
        <v>508</v>
      </c>
      <c r="E169" s="10">
        <v>2013</v>
      </c>
      <c r="F169" s="11"/>
      <c r="G169" s="11">
        <v>26</v>
      </c>
      <c r="H169" s="26">
        <f>VLOOKUP(B169,'[1]현황(21년)'!$D$5:$E$275,2,0)</f>
        <v>3680</v>
      </c>
      <c r="I169" s="26">
        <f>VLOOKUP(B169,'[2]현황(22년)'!$D$5:$E$275,2,0)</f>
        <v>3608</v>
      </c>
      <c r="J169" s="26">
        <f>VLOOKUP(B169,'[3]현황(23년)'!$C$5:$D$264,2,0)</f>
        <v>3665</v>
      </c>
      <c r="K169" s="26">
        <f>VLOOKUP(B169,'[4]현황(24년)'!$C$5:$D$245,2,0)</f>
        <v>2874</v>
      </c>
      <c r="L169" s="26">
        <f>VLOOKUP(B169,'[5]현황(25년)'!$C$5:$D$233,2,0)</f>
        <v>2865</v>
      </c>
      <c r="M169" s="26">
        <f>VLOOKUP(B169,'[6]현황(26년)'!$C$5:$D$228,2,0)</f>
        <v>2939</v>
      </c>
    </row>
    <row r="170" spans="1:13" s="1" customFormat="1">
      <c r="A170" s="27"/>
      <c r="B170" s="11" t="s">
        <v>295</v>
      </c>
      <c r="C170" s="11" t="s">
        <v>296</v>
      </c>
      <c r="D170" s="10" t="s">
        <v>501</v>
      </c>
      <c r="E170" s="10">
        <v>2013</v>
      </c>
      <c r="F170" s="11"/>
      <c r="G170" s="11">
        <v>26</v>
      </c>
      <c r="H170" s="26">
        <f>VLOOKUP(B170,'[1]현황(21년)'!$D$5:$E$275,2,0)</f>
        <v>2839</v>
      </c>
      <c r="I170" s="26">
        <f>VLOOKUP(B170,'[2]현황(22년)'!$D$5:$E$275,2,0)</f>
        <v>2783</v>
      </c>
      <c r="J170" s="26">
        <f>VLOOKUP(B170,'[3]현황(23년)'!$C$5:$D$264,2,0)</f>
        <v>1992</v>
      </c>
      <c r="K170" s="26">
        <f>VLOOKUP(B170,'[4]현황(24년)'!$C$5:$D$245,2,0)</f>
        <v>1783</v>
      </c>
      <c r="L170" s="26">
        <f>VLOOKUP(B170,'[5]현황(25년)'!$C$5:$D$233,2,0)</f>
        <v>1505</v>
      </c>
      <c r="M170" s="26">
        <f>VLOOKUP(B170,'[6]현황(26년)'!$C$5:$D$228,2,0)</f>
        <v>721</v>
      </c>
    </row>
    <row r="171" spans="1:13" s="1" customFormat="1">
      <c r="A171" s="27"/>
      <c r="B171" s="11" t="s">
        <v>297</v>
      </c>
      <c r="C171" s="11" t="s">
        <v>298</v>
      </c>
      <c r="D171" s="10" t="s">
        <v>501</v>
      </c>
      <c r="E171" s="10">
        <v>2018</v>
      </c>
      <c r="F171" s="11"/>
      <c r="G171" s="11">
        <v>19</v>
      </c>
      <c r="H171" s="26">
        <f>VLOOKUP(B171,'[1]현황(21년)'!$D$5:$E$275,2,0)</f>
        <v>1939</v>
      </c>
      <c r="I171" s="26">
        <f>VLOOKUP(B171,'[2]현황(22년)'!$D$5:$E$275,2,0)</f>
        <v>2017</v>
      </c>
      <c r="J171" s="26">
        <f>VLOOKUP(B171,'[3]현황(23년)'!$C$5:$D$264,2,0)</f>
        <v>2186</v>
      </c>
      <c r="K171" s="26">
        <f>VLOOKUP(B171,'[4]현황(24년)'!$C$5:$D$245,2,0)</f>
        <v>2241</v>
      </c>
      <c r="L171" s="26">
        <f>VLOOKUP(B171,'[5]현황(25년)'!$C$5:$D$233,2,0)</f>
        <v>2423</v>
      </c>
      <c r="M171" s="26">
        <f>VLOOKUP(B171,'[6]현황(26년)'!$C$5:$D$228,2,0)</f>
        <v>896</v>
      </c>
    </row>
    <row r="172" spans="1:13" s="1" customFormat="1">
      <c r="A172" s="27"/>
      <c r="B172" s="11" t="s">
        <v>299</v>
      </c>
      <c r="C172" s="11" t="s">
        <v>300</v>
      </c>
      <c r="D172" s="10" t="s">
        <v>501</v>
      </c>
      <c r="E172" s="10">
        <v>2021</v>
      </c>
      <c r="F172" s="11"/>
      <c r="G172" s="11">
        <v>19</v>
      </c>
      <c r="H172" s="26">
        <f>VLOOKUP(B172,'[1]현황(21년)'!$D$5:$E$275,2,0)</f>
        <v>227</v>
      </c>
      <c r="I172" s="26">
        <f>VLOOKUP(B172,'[2]현황(22년)'!$D$5:$E$275,2,0)</f>
        <v>845</v>
      </c>
      <c r="J172" s="26">
        <f>VLOOKUP(B172,'[3]현황(23년)'!$C$5:$D$264,2,0)</f>
        <v>1681</v>
      </c>
      <c r="K172" s="26">
        <f>VLOOKUP(B172,'[4]현황(24년)'!$C$5:$D$245,2,0)</f>
        <v>2184</v>
      </c>
      <c r="L172" s="26">
        <f>VLOOKUP(B172,'[5]현황(25년)'!$C$5:$D$233,2,0)</f>
        <v>2380</v>
      </c>
      <c r="M172" s="26">
        <f>VLOOKUP(B172,'[6]현황(26년)'!$C$5:$D$228,2,0)</f>
        <v>1118</v>
      </c>
    </row>
    <row r="173" spans="1:13" s="1" customFormat="1">
      <c r="A173" s="27" t="s">
        <v>301</v>
      </c>
      <c r="B173" s="11" t="s">
        <v>497</v>
      </c>
      <c r="C173" s="11" t="s">
        <v>302</v>
      </c>
      <c r="D173" s="10" t="s">
        <v>487</v>
      </c>
      <c r="E173" s="10" t="s">
        <v>566</v>
      </c>
      <c r="F173" s="11">
        <v>2024</v>
      </c>
      <c r="G173" s="11">
        <v>12</v>
      </c>
      <c r="H173" s="26">
        <f>VLOOKUP(B173,'[1]현황(21년)'!$D$5:$E$275,2,0)</f>
        <v>151</v>
      </c>
      <c r="I173" s="26">
        <f>VLOOKUP(B173,'[2]현황(22년)'!$D$5:$E$275,2,0)</f>
        <v>226</v>
      </c>
      <c r="J173" s="26">
        <f>VLOOKUP(B173,'[3]현황(23년)'!$C$5:$D$264,2,0)</f>
        <v>246</v>
      </c>
      <c r="K173" s="26" t="s">
        <v>585</v>
      </c>
      <c r="L173" s="26" t="s">
        <v>585</v>
      </c>
      <c r="M173" s="26" t="s">
        <v>585</v>
      </c>
    </row>
    <row r="174" spans="1:13" s="1" customFormat="1">
      <c r="A174" s="27"/>
      <c r="B174" s="11" t="s">
        <v>303</v>
      </c>
      <c r="C174" s="11" t="s">
        <v>304</v>
      </c>
      <c r="D174" s="10" t="s">
        <v>486</v>
      </c>
      <c r="E174" s="10">
        <v>2017</v>
      </c>
      <c r="F174" s="11">
        <v>2025</v>
      </c>
      <c r="G174" s="11">
        <v>19</v>
      </c>
      <c r="H174" s="26">
        <f>VLOOKUP(B174,'[1]현황(21년)'!$D$5:$E$275,2,0)</f>
        <v>2059</v>
      </c>
      <c r="I174" s="26">
        <f>VLOOKUP(B174,'[2]현황(22년)'!$D$5:$E$275,2,0)</f>
        <v>1430</v>
      </c>
      <c r="J174" s="26">
        <f>VLOOKUP(B174,'[3]현황(23년)'!$C$5:$D$264,2,0)</f>
        <v>1119</v>
      </c>
      <c r="K174" s="26">
        <f>VLOOKUP(B174,'[4]현황(24년)'!$C$5:$D$245,2,0)</f>
        <v>639</v>
      </c>
      <c r="L174" s="26" t="s">
        <v>585</v>
      </c>
      <c r="M174" s="26" t="s">
        <v>585</v>
      </c>
    </row>
    <row r="175" spans="1:13" s="1" customFormat="1">
      <c r="A175" s="27"/>
      <c r="B175" s="11" t="s">
        <v>498</v>
      </c>
      <c r="C175" s="11" t="s">
        <v>305</v>
      </c>
      <c r="D175" s="10" t="s">
        <v>501</v>
      </c>
      <c r="E175" s="10">
        <v>2016</v>
      </c>
      <c r="F175" s="11"/>
      <c r="G175" s="11">
        <v>12</v>
      </c>
      <c r="H175" s="26">
        <v>1429</v>
      </c>
      <c r="I175" s="26">
        <f>VLOOKUP(B175,'[2]현황(22년)'!$D$5:$E$275,2,0)</f>
        <v>1406</v>
      </c>
      <c r="J175" s="26">
        <f>VLOOKUP(B175,'[3]현황(23년)'!$C$5:$D$264,2,0)</f>
        <v>1625</v>
      </c>
      <c r="K175" s="26">
        <f>VLOOKUP(B175,'[4]현황(24년)'!$C$5:$D$245,2,0)</f>
        <v>1907</v>
      </c>
      <c r="L175" s="26">
        <f>VLOOKUP(B175,'[5]현황(25년)'!$C$5:$D$233,2,0)</f>
        <v>1976</v>
      </c>
      <c r="M175" s="26">
        <f>VLOOKUP(B175,'[6]현황(26년)'!$C$5:$D$228,2,0)</f>
        <v>1017</v>
      </c>
    </row>
    <row r="176" spans="1:13" s="1" customFormat="1" ht="17.25">
      <c r="A176" s="27"/>
      <c r="B176" s="28" t="s">
        <v>573</v>
      </c>
      <c r="C176" s="11" t="s">
        <v>306</v>
      </c>
      <c r="D176" s="10" t="s">
        <v>487</v>
      </c>
      <c r="E176" s="10">
        <v>2015</v>
      </c>
      <c r="F176" s="11">
        <v>2024</v>
      </c>
      <c r="G176" s="11">
        <v>19</v>
      </c>
      <c r="H176" s="26">
        <f>VLOOKUP(B176,'[1]현황(21년)'!$D$5:$E$275,2,0)</f>
        <v>1519</v>
      </c>
      <c r="I176" s="26">
        <f>VLOOKUP(B176,'[2]현황(22년)'!$D$5:$E$275,2,0)</f>
        <v>1863</v>
      </c>
      <c r="J176" s="26">
        <f>VLOOKUP(B176,'[3]현황(23년)'!$C$5:$D$264,2,0)</f>
        <v>924</v>
      </c>
      <c r="K176" s="26" t="s">
        <v>585</v>
      </c>
      <c r="L176" s="26" t="s">
        <v>585</v>
      </c>
      <c r="M176" s="26" t="s">
        <v>585</v>
      </c>
    </row>
    <row r="177" spans="1:13" s="1" customFormat="1" ht="17.25">
      <c r="A177" s="27"/>
      <c r="B177" s="11" t="s">
        <v>307</v>
      </c>
      <c r="C177" s="11" t="s">
        <v>308</v>
      </c>
      <c r="D177" s="10" t="s">
        <v>501</v>
      </c>
      <c r="E177" s="10">
        <v>2014</v>
      </c>
      <c r="F177" s="11"/>
      <c r="G177" s="11">
        <v>19</v>
      </c>
      <c r="H177" s="29">
        <v>2894</v>
      </c>
      <c r="I177" s="26">
        <f>VLOOKUP(B177,'[2]현황(22년)'!$D$5:$E$275,2,0)</f>
        <v>1895</v>
      </c>
      <c r="J177" s="26">
        <f>VLOOKUP(B177,'[3]현황(23년)'!$C$5:$D$264,2,0)</f>
        <v>1880</v>
      </c>
      <c r="K177" s="26">
        <f>VLOOKUP(B177,'[4]현황(24년)'!$C$5:$D$245,2,0)</f>
        <v>2345</v>
      </c>
      <c r="L177" s="26">
        <f>VLOOKUP(B177,'[5]현황(25년)'!$C$5:$D$233,2,0)</f>
        <v>2766</v>
      </c>
      <c r="M177" s="26">
        <f>VLOOKUP(B177,'[6]현황(26년)'!$C$5:$D$228,2,0)</f>
        <v>1302</v>
      </c>
    </row>
    <row r="178" spans="1:13" s="1" customFormat="1">
      <c r="A178" s="27"/>
      <c r="B178" s="11" t="s">
        <v>309</v>
      </c>
      <c r="C178" s="11" t="s">
        <v>310</v>
      </c>
      <c r="D178" s="10" t="s">
        <v>501</v>
      </c>
      <c r="E178" s="10">
        <v>2014</v>
      </c>
      <c r="F178" s="11"/>
      <c r="G178" s="11">
        <v>19</v>
      </c>
      <c r="H178" s="26">
        <f>VLOOKUP(B178,'[1]현황(21년)'!$D$5:$E$275,2,0)</f>
        <v>1253</v>
      </c>
      <c r="I178" s="26">
        <f>VLOOKUP(B178,'[2]현황(22년)'!$D$5:$E$275,2,0)</f>
        <v>1368</v>
      </c>
      <c r="J178" s="26">
        <f>VLOOKUP(B178,'[3]현황(23년)'!$C$5:$D$264,2,0)</f>
        <v>1317</v>
      </c>
      <c r="K178" s="26">
        <f>VLOOKUP(B178,'[4]현황(24년)'!$C$5:$D$245,2,0)</f>
        <v>1872</v>
      </c>
      <c r="L178" s="26">
        <f>VLOOKUP(B178,'[5]현황(25년)'!$C$5:$D$233,2,0)</f>
        <v>1493</v>
      </c>
      <c r="M178" s="26">
        <f>VLOOKUP(B178,'[6]현황(26년)'!$C$5:$D$228,2,0)</f>
        <v>641</v>
      </c>
    </row>
    <row r="179" spans="1:13" s="1" customFormat="1">
      <c r="A179" s="27"/>
      <c r="B179" s="11" t="s">
        <v>537</v>
      </c>
      <c r="C179" s="11" t="s">
        <v>557</v>
      </c>
      <c r="D179" s="10" t="s">
        <v>487</v>
      </c>
      <c r="E179" s="10">
        <v>2014</v>
      </c>
      <c r="F179" s="11">
        <v>2023</v>
      </c>
      <c r="G179" s="11"/>
      <c r="H179" s="26">
        <f>VLOOKUP(B179,'[1]현황(21년)'!$D$5:$E$275,2,0)</f>
        <v>2595</v>
      </c>
      <c r="I179" s="26">
        <f>VLOOKUP(B179,'[2]현황(22년)'!$D$5:$E$275,2,0)</f>
        <v>1077</v>
      </c>
      <c r="J179" s="26" t="s">
        <v>585</v>
      </c>
      <c r="K179" s="26" t="s">
        <v>585</v>
      </c>
      <c r="L179" s="26" t="s">
        <v>585</v>
      </c>
      <c r="M179" s="26" t="s">
        <v>585</v>
      </c>
    </row>
    <row r="180" spans="1:13" s="1" customFormat="1">
      <c r="A180" s="27"/>
      <c r="B180" s="11" t="s">
        <v>538</v>
      </c>
      <c r="C180" s="11" t="s">
        <v>558</v>
      </c>
      <c r="D180" s="10" t="s">
        <v>487</v>
      </c>
      <c r="E180" s="10" t="s">
        <v>566</v>
      </c>
      <c r="F180" s="11">
        <v>2022</v>
      </c>
      <c r="G180" s="11"/>
      <c r="H180" s="26">
        <f>VLOOKUP(B180,'[1]현황(21년)'!$D$5:$E$275,2,0)</f>
        <v>1015</v>
      </c>
      <c r="I180" s="26" t="s">
        <v>585</v>
      </c>
      <c r="J180" s="26" t="s">
        <v>585</v>
      </c>
      <c r="K180" s="26" t="s">
        <v>585</v>
      </c>
      <c r="L180" s="26" t="s">
        <v>585</v>
      </c>
      <c r="M180" s="26" t="s">
        <v>585</v>
      </c>
    </row>
    <row r="181" spans="1:13" s="1" customFormat="1">
      <c r="A181" s="27"/>
      <c r="B181" s="11" t="s">
        <v>311</v>
      </c>
      <c r="C181" s="11" t="s">
        <v>312</v>
      </c>
      <c r="D181" s="10" t="s">
        <v>501</v>
      </c>
      <c r="E181" s="10">
        <v>2013</v>
      </c>
      <c r="F181" s="11"/>
      <c r="G181" s="11">
        <v>19</v>
      </c>
      <c r="H181" s="26">
        <f>VLOOKUP(B181,'[1]현황(21년)'!$D$5:$E$275,2,0)</f>
        <v>2342</v>
      </c>
      <c r="I181" s="26">
        <f>VLOOKUP(B181,'[2]현황(22년)'!$D$5:$E$275,2,0)</f>
        <v>1952</v>
      </c>
      <c r="J181" s="26">
        <f>VLOOKUP(B181,'[3]현황(23년)'!$C$5:$D$264,2,0)</f>
        <v>1980</v>
      </c>
      <c r="K181" s="26">
        <f>VLOOKUP(B181,'[4]현황(24년)'!$C$5:$D$245,2,0)</f>
        <v>1799</v>
      </c>
      <c r="L181" s="26">
        <f>VLOOKUP(B181,'[5]현황(25년)'!$C$5:$D$233,2,0)</f>
        <v>1774</v>
      </c>
      <c r="M181" s="26">
        <f>VLOOKUP(B181,'[6]현황(26년)'!$C$5:$D$228,2,0)</f>
        <v>1105</v>
      </c>
    </row>
    <row r="182" spans="1:13" s="1" customFormat="1">
      <c r="A182" s="27"/>
      <c r="B182" s="11" t="s">
        <v>539</v>
      </c>
      <c r="C182" s="11" t="s">
        <v>559</v>
      </c>
      <c r="D182" s="10" t="s">
        <v>487</v>
      </c>
      <c r="E182" s="10">
        <v>2019</v>
      </c>
      <c r="F182" s="11">
        <v>2022</v>
      </c>
      <c r="G182" s="11"/>
      <c r="H182" s="26">
        <f>VLOOKUP(B182,'[1]현황(21년)'!$D$5:$E$275,2,0)</f>
        <v>505</v>
      </c>
      <c r="I182" s="26" t="s">
        <v>585</v>
      </c>
      <c r="J182" s="26" t="s">
        <v>585</v>
      </c>
      <c r="K182" s="26" t="s">
        <v>585</v>
      </c>
      <c r="L182" s="26" t="s">
        <v>585</v>
      </c>
      <c r="M182" s="26" t="s">
        <v>585</v>
      </c>
    </row>
    <row r="183" spans="1:13" s="1" customFormat="1">
      <c r="A183" s="27"/>
      <c r="B183" s="11" t="s">
        <v>591</v>
      </c>
      <c r="C183" s="11" t="s">
        <v>478</v>
      </c>
      <c r="D183" s="10" t="s">
        <v>501</v>
      </c>
      <c r="E183" s="10">
        <v>2013</v>
      </c>
      <c r="F183" s="11"/>
      <c r="G183" s="11">
        <v>19</v>
      </c>
      <c r="H183" s="26">
        <f>VLOOKUP(B183,'[1]현황(21년)'!$D$5:$E$275,2,0)</f>
        <v>3027</v>
      </c>
      <c r="I183" s="26">
        <v>995</v>
      </c>
      <c r="J183" s="26" t="s">
        <v>585</v>
      </c>
      <c r="K183" s="26">
        <v>248</v>
      </c>
      <c r="L183" s="26">
        <v>1623</v>
      </c>
      <c r="M183" s="26">
        <v>1081</v>
      </c>
    </row>
    <row r="184" spans="1:13" s="1" customFormat="1">
      <c r="A184" s="27"/>
      <c r="B184" s="11" t="s">
        <v>313</v>
      </c>
      <c r="C184" s="11" t="s">
        <v>314</v>
      </c>
      <c r="D184" s="10" t="s">
        <v>501</v>
      </c>
      <c r="E184" s="10">
        <v>2018</v>
      </c>
      <c r="F184" s="11"/>
      <c r="G184" s="11">
        <v>19</v>
      </c>
      <c r="H184" s="26">
        <f>VLOOKUP(B184,'[1]현황(21년)'!$D$5:$E$275,2,0)</f>
        <v>2574</v>
      </c>
      <c r="I184" s="26">
        <f>VLOOKUP(B184,'[2]현황(22년)'!$D$5:$E$275,2,0)</f>
        <v>2627</v>
      </c>
      <c r="J184" s="26">
        <f>VLOOKUP(B184,'[3]현황(23년)'!$C$5:$D$264,2,0)</f>
        <v>2730</v>
      </c>
      <c r="K184" s="26">
        <f>VLOOKUP(B184,'[4]현황(24년)'!$C$5:$D$245,2,0)</f>
        <v>3370</v>
      </c>
      <c r="L184" s="26">
        <f>VLOOKUP(B184,'[5]현황(25년)'!$C$5:$D$233,2,0)</f>
        <v>2976</v>
      </c>
      <c r="M184" s="26">
        <f>VLOOKUP(B184,'[6]현황(26년)'!$C$5:$D$228,2,0)</f>
        <v>1571</v>
      </c>
    </row>
    <row r="185" spans="1:13" s="1" customFormat="1">
      <c r="A185" s="27" t="s">
        <v>315</v>
      </c>
      <c r="B185" s="11" t="s">
        <v>316</v>
      </c>
      <c r="C185" s="11" t="s">
        <v>317</v>
      </c>
      <c r="D185" s="10" t="s">
        <v>501</v>
      </c>
      <c r="E185" s="10">
        <v>2019</v>
      </c>
      <c r="F185" s="11"/>
      <c r="G185" s="11">
        <v>12</v>
      </c>
      <c r="H185" s="26">
        <f>VLOOKUP(B185,'[1]현황(21년)'!$D$5:$E$275,2,0)</f>
        <v>1425</v>
      </c>
      <c r="I185" s="26">
        <f>VLOOKUP(B185,'[2]현황(22년)'!$D$5:$E$275,2,0)</f>
        <v>1058</v>
      </c>
      <c r="J185" s="26">
        <f>VLOOKUP(B185,'[3]현황(23년)'!$C$5:$D$264,2,0)</f>
        <v>1090</v>
      </c>
      <c r="K185" s="26">
        <f>VLOOKUP(B185,'[4]현황(24년)'!$C$5:$D$245,2,0)</f>
        <v>1613</v>
      </c>
      <c r="L185" s="26">
        <f>VLOOKUP(B185,'[5]현황(25년)'!$C$5:$D$233,2,0)</f>
        <v>1218</v>
      </c>
      <c r="M185" s="26">
        <f>VLOOKUP(B185,'[6]현황(26년)'!$C$5:$D$228,2,0)</f>
        <v>339</v>
      </c>
    </row>
    <row r="186" spans="1:13" s="1" customFormat="1">
      <c r="A186" s="27"/>
      <c r="B186" s="11" t="s">
        <v>499</v>
      </c>
      <c r="C186" s="11" t="s">
        <v>318</v>
      </c>
      <c r="D186" s="10" t="s">
        <v>487</v>
      </c>
      <c r="E186" s="10" t="s">
        <v>566</v>
      </c>
      <c r="F186" s="11">
        <v>2024</v>
      </c>
      <c r="G186" s="11">
        <v>12</v>
      </c>
      <c r="H186" s="26">
        <f>VLOOKUP(B186,'[1]현황(21년)'!$D$5:$E$275,2,0)</f>
        <v>52</v>
      </c>
      <c r="I186" s="26">
        <f>VLOOKUP(B186,'[2]현황(22년)'!$D$5:$E$275,2,0)</f>
        <v>56</v>
      </c>
      <c r="J186" s="26">
        <f>VLOOKUP(B186,'[3]현황(23년)'!$C$5:$D$264,2,0)</f>
        <v>254</v>
      </c>
      <c r="K186" s="26" t="s">
        <v>585</v>
      </c>
      <c r="L186" s="26" t="s">
        <v>585</v>
      </c>
      <c r="M186" s="26" t="s">
        <v>585</v>
      </c>
    </row>
    <row r="187" spans="1:13" s="1" customFormat="1">
      <c r="A187" s="27"/>
      <c r="B187" s="11" t="s">
        <v>574</v>
      </c>
      <c r="C187" s="11" t="s">
        <v>319</v>
      </c>
      <c r="D187" s="10" t="s">
        <v>487</v>
      </c>
      <c r="E187" s="10">
        <v>2022</v>
      </c>
      <c r="F187" s="11">
        <v>2024</v>
      </c>
      <c r="G187" s="11">
        <v>12</v>
      </c>
      <c r="H187" s="26" t="s">
        <v>585</v>
      </c>
      <c r="I187" s="26">
        <f>VLOOKUP(B187,'[2]현황(22년)'!$D$5:$E$275,2,0)</f>
        <v>1</v>
      </c>
      <c r="J187" s="26">
        <f>VLOOKUP(B187,'[3]현황(23년)'!$C$5:$D$264,2,0)</f>
        <v>165</v>
      </c>
      <c r="K187" s="26" t="s">
        <v>585</v>
      </c>
      <c r="L187" s="26" t="s">
        <v>585</v>
      </c>
      <c r="M187" s="26" t="s">
        <v>585</v>
      </c>
    </row>
    <row r="188" spans="1:13" s="1" customFormat="1">
      <c r="A188" s="27"/>
      <c r="B188" s="11" t="s">
        <v>592</v>
      </c>
      <c r="C188" s="11" t="s">
        <v>320</v>
      </c>
      <c r="D188" s="10" t="s">
        <v>508</v>
      </c>
      <c r="E188" s="10">
        <v>2022</v>
      </c>
      <c r="F188" s="11"/>
      <c r="G188" s="11">
        <v>12</v>
      </c>
      <c r="H188" s="26" t="s">
        <v>585</v>
      </c>
      <c r="I188" s="26">
        <f>VLOOKUP(B188,'[2]현황(22년)'!$D$5:$E$275,2,0)</f>
        <v>46</v>
      </c>
      <c r="J188" s="26">
        <f>VLOOKUP(B188,'[3]현황(23년)'!$C$5:$D$264,2,0)</f>
        <v>164</v>
      </c>
      <c r="K188" s="26">
        <v>838</v>
      </c>
      <c r="L188" s="26">
        <v>752</v>
      </c>
      <c r="M188" s="26">
        <v>342</v>
      </c>
    </row>
    <row r="189" spans="1:13" s="1" customFormat="1">
      <c r="A189" s="27"/>
      <c r="B189" s="11" t="s">
        <v>321</v>
      </c>
      <c r="C189" s="11" t="s">
        <v>322</v>
      </c>
      <c r="D189" s="10" t="s">
        <v>501</v>
      </c>
      <c r="E189" s="10">
        <v>2014</v>
      </c>
      <c r="F189" s="11"/>
      <c r="G189" s="11">
        <v>19</v>
      </c>
      <c r="H189" s="26">
        <f>VLOOKUP(B189,'[1]현황(21년)'!$D$5:$E$275,2,0)</f>
        <v>1676</v>
      </c>
      <c r="I189" s="26">
        <f>VLOOKUP(B189,'[2]현황(22년)'!$D$5:$E$275,2,0)</f>
        <v>3389</v>
      </c>
      <c r="J189" s="26">
        <f>VLOOKUP(B189,'[3]현황(23년)'!$C$5:$D$264,2,0)</f>
        <v>3831</v>
      </c>
      <c r="K189" s="26">
        <f>VLOOKUP(B189,'[4]현황(24년)'!$C$5:$D$245,2,0)</f>
        <v>2829</v>
      </c>
      <c r="L189" s="26">
        <f>VLOOKUP(B189,'[5]현황(25년)'!$C$5:$D$233,2,0)</f>
        <v>1568</v>
      </c>
      <c r="M189" s="26">
        <f>VLOOKUP(B189,'[6]현황(26년)'!$C$5:$D$228,2,0)</f>
        <v>285</v>
      </c>
    </row>
    <row r="190" spans="1:13" s="1" customFormat="1">
      <c r="A190" s="27"/>
      <c r="B190" s="11" t="s">
        <v>323</v>
      </c>
      <c r="C190" s="11" t="s">
        <v>324</v>
      </c>
      <c r="D190" s="10" t="s">
        <v>486</v>
      </c>
      <c r="E190" s="10">
        <v>2013</v>
      </c>
      <c r="F190" s="11">
        <v>2025</v>
      </c>
      <c r="G190" s="11">
        <v>12</v>
      </c>
      <c r="H190" s="26">
        <f>VLOOKUP(B190,'[1]현황(21년)'!$D$5:$E$275,2,0)</f>
        <v>1163</v>
      </c>
      <c r="I190" s="26">
        <f>VLOOKUP(B190,'[2]현황(22년)'!$D$5:$E$275,2,0)</f>
        <v>598</v>
      </c>
      <c r="J190" s="26">
        <f>VLOOKUP(B190,'[3]현황(23년)'!$C$5:$D$264,2,0)</f>
        <v>509</v>
      </c>
      <c r="K190" s="26">
        <f>VLOOKUP(B190,'[4]현황(24년)'!$C$5:$D$245,2,0)</f>
        <v>227</v>
      </c>
      <c r="L190" s="26" t="s">
        <v>585</v>
      </c>
      <c r="M190" s="26" t="s">
        <v>585</v>
      </c>
    </row>
    <row r="191" spans="1:13" s="1" customFormat="1">
      <c r="A191" s="27"/>
      <c r="B191" s="11" t="s">
        <v>325</v>
      </c>
      <c r="C191" s="11" t="s">
        <v>326</v>
      </c>
      <c r="D191" s="10" t="s">
        <v>501</v>
      </c>
      <c r="E191" s="10">
        <v>2013</v>
      </c>
      <c r="F191" s="11"/>
      <c r="G191" s="11">
        <v>19</v>
      </c>
      <c r="H191" s="26">
        <f>VLOOKUP(B191,'[1]현황(21년)'!$D$5:$E$275,2,0)</f>
        <v>2440</v>
      </c>
      <c r="I191" s="26">
        <f>VLOOKUP(B191,'[2]현황(22년)'!$D$5:$E$275,2,0)</f>
        <v>1960</v>
      </c>
      <c r="J191" s="26">
        <f>VLOOKUP(B191,'[3]현황(23년)'!$C$5:$D$264,2,0)</f>
        <v>1821</v>
      </c>
      <c r="K191" s="26">
        <f>VLOOKUP(B191,'[4]현황(24년)'!$C$5:$D$245,2,0)</f>
        <v>1751</v>
      </c>
      <c r="L191" s="26">
        <f>VLOOKUP(B191,'[5]현황(25년)'!$C$5:$D$233,2,0)</f>
        <v>1728</v>
      </c>
      <c r="M191" s="26">
        <f>VLOOKUP(B191,'[6]현황(26년)'!$C$5:$D$228,2,0)</f>
        <v>703</v>
      </c>
    </row>
    <row r="192" spans="1:13" s="1" customFormat="1">
      <c r="A192" s="27"/>
      <c r="B192" s="11" t="s">
        <v>327</v>
      </c>
      <c r="C192" s="11" t="s">
        <v>328</v>
      </c>
      <c r="D192" s="10" t="s">
        <v>501</v>
      </c>
      <c r="E192" s="10">
        <v>2013</v>
      </c>
      <c r="F192" s="11"/>
      <c r="G192" s="11">
        <v>26</v>
      </c>
      <c r="H192" s="26">
        <f>VLOOKUP(B192,'[1]현황(21년)'!$D$5:$E$275,2,0)</f>
        <v>2214</v>
      </c>
      <c r="I192" s="26">
        <f>VLOOKUP(B192,'[2]현황(22년)'!$D$5:$E$275,2,0)</f>
        <v>2164</v>
      </c>
      <c r="J192" s="26">
        <f>VLOOKUP(B192,'[3]현황(23년)'!$C$5:$D$264,2,0)</f>
        <v>2747</v>
      </c>
      <c r="K192" s="26">
        <f>VLOOKUP(B192,'[4]현황(24년)'!$C$5:$D$245,2,0)</f>
        <v>2641</v>
      </c>
      <c r="L192" s="26">
        <f>VLOOKUP(B192,'[5]현황(25년)'!$C$5:$D$233,2,0)</f>
        <v>2014</v>
      </c>
      <c r="M192" s="26">
        <f>VLOOKUP(B192,'[6]현황(26년)'!$C$5:$D$228,2,0)</f>
        <v>1064</v>
      </c>
    </row>
    <row r="193" spans="1:13" s="1" customFormat="1">
      <c r="A193" s="27"/>
      <c r="B193" s="11" t="s">
        <v>479</v>
      </c>
      <c r="C193" s="11" t="s">
        <v>480</v>
      </c>
      <c r="D193" s="10" t="s">
        <v>487</v>
      </c>
      <c r="E193" s="10">
        <v>2017</v>
      </c>
      <c r="F193" s="11">
        <v>2023</v>
      </c>
      <c r="G193" s="11">
        <v>19</v>
      </c>
      <c r="H193" s="26">
        <f>VLOOKUP(B193,'[1]현황(21년)'!$D$5:$E$275,2,0)</f>
        <v>2503</v>
      </c>
      <c r="I193" s="26">
        <f>VLOOKUP(B193,'[2]현황(22년)'!$D$5:$E$275,2,0)</f>
        <v>2306</v>
      </c>
      <c r="J193" s="26" t="s">
        <v>585</v>
      </c>
      <c r="K193" s="26" t="s">
        <v>585</v>
      </c>
      <c r="L193" s="26" t="s">
        <v>585</v>
      </c>
      <c r="M193" s="26" t="s">
        <v>585</v>
      </c>
    </row>
    <row r="194" spans="1:13" s="1" customFormat="1">
      <c r="A194" s="27"/>
      <c r="B194" s="11" t="s">
        <v>329</v>
      </c>
      <c r="C194" s="11" t="s">
        <v>330</v>
      </c>
      <c r="D194" s="10" t="s">
        <v>501</v>
      </c>
      <c r="E194" s="10">
        <v>2018</v>
      </c>
      <c r="F194" s="11"/>
      <c r="G194" s="11">
        <v>19</v>
      </c>
      <c r="H194" s="26">
        <f>VLOOKUP(B194,'[1]현황(21년)'!$D$5:$E$275,2,0)</f>
        <v>2380</v>
      </c>
      <c r="I194" s="26">
        <f>VLOOKUP(B194,'[2]현황(22년)'!$D$5:$E$275,2,0)</f>
        <v>1773</v>
      </c>
      <c r="J194" s="26">
        <f>VLOOKUP(B194,'[3]현황(23년)'!$C$5:$D$264,2,0)</f>
        <v>2026</v>
      </c>
      <c r="K194" s="26">
        <f>VLOOKUP(B194,'[4]현황(24년)'!$C$5:$D$245,2,0)</f>
        <v>1568</v>
      </c>
      <c r="L194" s="26">
        <f>VLOOKUP(B194,'[5]현황(25년)'!$C$5:$D$233,2,0)</f>
        <v>1884</v>
      </c>
      <c r="M194" s="26">
        <f>VLOOKUP(B194,'[6]현황(26년)'!$C$5:$D$228,2,0)</f>
        <v>983</v>
      </c>
    </row>
    <row r="195" spans="1:13" s="1" customFormat="1">
      <c r="A195" s="27" t="s">
        <v>331</v>
      </c>
      <c r="B195" s="11" t="s">
        <v>540</v>
      </c>
      <c r="C195" s="11" t="s">
        <v>332</v>
      </c>
      <c r="D195" s="10" t="s">
        <v>487</v>
      </c>
      <c r="E195" s="10" t="s">
        <v>566</v>
      </c>
      <c r="F195" s="11">
        <v>2024</v>
      </c>
      <c r="G195" s="11">
        <v>12</v>
      </c>
      <c r="H195" s="26">
        <f>VLOOKUP(B195,'[1]현황(21년)'!$D$5:$E$275,2,0)</f>
        <v>871</v>
      </c>
      <c r="I195" s="26">
        <f>VLOOKUP(B195,'[2]현황(22년)'!$D$5:$E$275,2,0)</f>
        <v>635</v>
      </c>
      <c r="J195" s="26">
        <f>VLOOKUP(B195,'[3]현황(23년)'!$C$5:$D$264,2,0)</f>
        <v>647</v>
      </c>
      <c r="K195" s="26" t="s">
        <v>585</v>
      </c>
      <c r="L195" s="26" t="s">
        <v>585</v>
      </c>
      <c r="M195" s="26" t="s">
        <v>585</v>
      </c>
    </row>
    <row r="196" spans="1:13" s="1" customFormat="1">
      <c r="A196" s="27"/>
      <c r="B196" s="11" t="s">
        <v>333</v>
      </c>
      <c r="C196" s="11" t="s">
        <v>334</v>
      </c>
      <c r="D196" s="10" t="s">
        <v>501</v>
      </c>
      <c r="E196" s="10">
        <v>2013</v>
      </c>
      <c r="F196" s="11"/>
      <c r="G196" s="11">
        <v>19</v>
      </c>
      <c r="H196" s="26">
        <f>VLOOKUP(B196,'[1]현황(21년)'!$D$5:$E$275,2,0)</f>
        <v>2427</v>
      </c>
      <c r="I196" s="26">
        <f>VLOOKUP(B196,'[2]현황(22년)'!$D$5:$E$275,2,0)</f>
        <v>2516</v>
      </c>
      <c r="J196" s="26">
        <f>VLOOKUP(B196,'[3]현황(23년)'!$C$5:$D$264,2,0)</f>
        <v>2284</v>
      </c>
      <c r="K196" s="26">
        <f>VLOOKUP(B196,'[4]현황(24년)'!$C$5:$D$245,2,0)</f>
        <v>1744</v>
      </c>
      <c r="L196" s="26">
        <f>VLOOKUP(B196,'[5]현황(25년)'!$C$5:$D$233,2,0)</f>
        <v>1200</v>
      </c>
      <c r="M196" s="26">
        <f>VLOOKUP(B196,'[6]현황(26년)'!$C$5:$D$228,2,0)</f>
        <v>637</v>
      </c>
    </row>
    <row r="197" spans="1:13" s="1" customFormat="1">
      <c r="A197" s="27"/>
      <c r="B197" s="11" t="s">
        <v>520</v>
      </c>
      <c r="C197" s="11" t="s">
        <v>335</v>
      </c>
      <c r="D197" s="10" t="s">
        <v>508</v>
      </c>
      <c r="E197" s="10" t="s">
        <v>566</v>
      </c>
      <c r="F197" s="11"/>
      <c r="G197" s="11">
        <v>12</v>
      </c>
      <c r="H197" s="26">
        <f>VLOOKUP(B197,'[1]현황(21년)'!$D$5:$E$275,2,0)</f>
        <v>901</v>
      </c>
      <c r="I197" s="26">
        <f>VLOOKUP(B197,'[2]현황(22년)'!$D$5:$E$275,2,0)</f>
        <v>1484</v>
      </c>
      <c r="J197" s="26">
        <f>VLOOKUP(B197,'[3]현황(23년)'!$C$5:$D$264,2,0)</f>
        <v>1602</v>
      </c>
      <c r="K197" s="26">
        <f>VLOOKUP(B197,'[4]현황(24년)'!$C$5:$D$245,2,0)</f>
        <v>1121</v>
      </c>
      <c r="L197" s="26">
        <f>VLOOKUP(B197,'[5]현황(25년)'!$C$5:$D$233,2,0)</f>
        <v>1517</v>
      </c>
      <c r="M197" s="26">
        <f>VLOOKUP(B197,'[6]현황(26년)'!$C$5:$D$228,2,0)</f>
        <v>1029</v>
      </c>
    </row>
    <row r="198" spans="1:13" s="1" customFormat="1">
      <c r="A198" s="27"/>
      <c r="B198" s="11" t="s">
        <v>336</v>
      </c>
      <c r="C198" s="11" t="s">
        <v>337</v>
      </c>
      <c r="D198" s="10" t="s">
        <v>501</v>
      </c>
      <c r="E198" s="10">
        <v>2017</v>
      </c>
      <c r="F198" s="11"/>
      <c r="G198" s="11">
        <v>12</v>
      </c>
      <c r="H198" s="26">
        <f>VLOOKUP(B198,'[1]현황(21년)'!$D$5:$E$275,2,0)</f>
        <v>1769</v>
      </c>
      <c r="I198" s="26">
        <f>VLOOKUP(B198,'[2]현황(22년)'!$D$5:$E$275,2,0)</f>
        <v>1833</v>
      </c>
      <c r="J198" s="26">
        <f>VLOOKUP(B198,'[3]현황(23년)'!$C$5:$D$264,2,0)</f>
        <v>1667</v>
      </c>
      <c r="K198" s="26">
        <f>VLOOKUP(B198,'[4]현황(24년)'!$C$5:$D$245,2,0)</f>
        <v>1902</v>
      </c>
      <c r="L198" s="26">
        <f>VLOOKUP(B198,'[5]현황(25년)'!$C$5:$D$233,2,0)</f>
        <v>1859</v>
      </c>
      <c r="M198" s="26">
        <f>VLOOKUP(B198,'[6]현황(26년)'!$C$5:$D$228,2,0)</f>
        <v>727</v>
      </c>
    </row>
    <row r="199" spans="1:13" s="1" customFormat="1">
      <c r="A199" s="27"/>
      <c r="B199" s="11" t="s">
        <v>338</v>
      </c>
      <c r="C199" s="11" t="s">
        <v>339</v>
      </c>
      <c r="D199" s="10" t="s">
        <v>501</v>
      </c>
      <c r="E199" s="10">
        <v>2016</v>
      </c>
      <c r="F199" s="11"/>
      <c r="G199" s="11">
        <v>19</v>
      </c>
      <c r="H199" s="26">
        <f>VLOOKUP(B199,'[1]현황(21년)'!$D$5:$E$275,2,0)</f>
        <v>2519</v>
      </c>
      <c r="I199" s="26">
        <f>VLOOKUP(B199,'[2]현황(22년)'!$D$5:$E$275,2,0)</f>
        <v>2960</v>
      </c>
      <c r="J199" s="26">
        <f>VLOOKUP(B199,'[3]현황(23년)'!$C$5:$D$264,2,0)</f>
        <v>2718</v>
      </c>
      <c r="K199" s="26">
        <f>VLOOKUP(B199,'[4]현황(24년)'!$C$5:$D$245,2,0)</f>
        <v>3781</v>
      </c>
      <c r="L199" s="26">
        <f>VLOOKUP(B199,'[5]현황(25년)'!$C$5:$D$233,2,0)</f>
        <v>3650</v>
      </c>
      <c r="M199" s="26">
        <f>VLOOKUP(B199,'[6]현황(26년)'!$C$5:$D$228,2,0)</f>
        <v>1408</v>
      </c>
    </row>
    <row r="200" spans="1:13" s="1" customFormat="1">
      <c r="A200" s="27"/>
      <c r="B200" s="11" t="s">
        <v>340</v>
      </c>
      <c r="C200" s="11" t="s">
        <v>341</v>
      </c>
      <c r="D200" s="10" t="s">
        <v>501</v>
      </c>
      <c r="E200" s="10">
        <v>2016</v>
      </c>
      <c r="F200" s="11"/>
      <c r="G200" s="11">
        <v>19</v>
      </c>
      <c r="H200" s="26">
        <f>VLOOKUP(B200,'[1]현황(21년)'!$D$5:$E$275,2,0)</f>
        <v>2854</v>
      </c>
      <c r="I200" s="26">
        <f>VLOOKUP(B200,'[2]현황(22년)'!$D$5:$E$275,2,0)</f>
        <v>2728</v>
      </c>
      <c r="J200" s="26">
        <f>VLOOKUP(B200,'[3]현황(23년)'!$C$5:$D$264,2,0)</f>
        <v>2896</v>
      </c>
      <c r="K200" s="26">
        <f>VLOOKUP(B200,'[4]현황(24년)'!$C$5:$D$245,2,0)</f>
        <v>2360</v>
      </c>
      <c r="L200" s="26">
        <f>VLOOKUP(B200,'[5]현황(25년)'!$C$5:$D$233,2,0)</f>
        <v>1762</v>
      </c>
      <c r="M200" s="26">
        <f>VLOOKUP(B200,'[6]현황(26년)'!$C$5:$D$228,2,0)</f>
        <v>520</v>
      </c>
    </row>
    <row r="201" spans="1:13" s="1" customFormat="1">
      <c r="A201" s="27"/>
      <c r="B201" s="11" t="s">
        <v>342</v>
      </c>
      <c r="C201" s="11" t="s">
        <v>343</v>
      </c>
      <c r="D201" s="10" t="s">
        <v>501</v>
      </c>
      <c r="E201" s="10">
        <v>2015</v>
      </c>
      <c r="F201" s="11"/>
      <c r="G201" s="11">
        <v>19</v>
      </c>
      <c r="H201" s="26">
        <f>VLOOKUP(B201,'[1]현황(21년)'!$D$5:$E$275,2,0)</f>
        <v>2564</v>
      </c>
      <c r="I201" s="26">
        <f>VLOOKUP(B201,'[2]현황(22년)'!$D$5:$E$275,2,0)</f>
        <v>2444</v>
      </c>
      <c r="J201" s="26">
        <f>VLOOKUP(B201,'[3]현황(23년)'!$C$5:$D$264,2,0)</f>
        <v>2476</v>
      </c>
      <c r="K201" s="26">
        <f>VLOOKUP(B201,'[4]현황(24년)'!$C$5:$D$245,2,0)</f>
        <v>2335</v>
      </c>
      <c r="L201" s="26">
        <f>VLOOKUP(B201,'[5]현황(25년)'!$C$5:$D$233,2,0)</f>
        <v>2366</v>
      </c>
      <c r="M201" s="26">
        <f>VLOOKUP(B201,'[6]현황(26년)'!$C$5:$D$228,2,0)</f>
        <v>1278</v>
      </c>
    </row>
    <row r="202" spans="1:13" s="1" customFormat="1">
      <c r="A202" s="27"/>
      <c r="B202" s="11" t="s">
        <v>344</v>
      </c>
      <c r="C202" s="11" t="s">
        <v>345</v>
      </c>
      <c r="D202" s="10" t="s">
        <v>501</v>
      </c>
      <c r="E202" s="10">
        <v>2014</v>
      </c>
      <c r="F202" s="11"/>
      <c r="G202" s="11">
        <v>19</v>
      </c>
      <c r="H202" s="26">
        <f>VLOOKUP(B202,'[1]현황(21년)'!$D$5:$E$275,2,0)</f>
        <v>2728</v>
      </c>
      <c r="I202" s="26">
        <f>VLOOKUP(B202,'[2]현황(22년)'!$D$5:$E$275,2,0)</f>
        <v>2314</v>
      </c>
      <c r="J202" s="26">
        <f>VLOOKUP(B202,'[3]현황(23년)'!$C$5:$D$264,2,0)</f>
        <v>1974</v>
      </c>
      <c r="K202" s="26">
        <f>VLOOKUP(B202,'[4]현황(24년)'!$C$5:$D$245,2,0)</f>
        <v>1813</v>
      </c>
      <c r="L202" s="26">
        <f>VLOOKUP(B202,'[5]현황(25년)'!$C$5:$D$233,2,0)</f>
        <v>1329</v>
      </c>
      <c r="M202" s="26">
        <f>VLOOKUP(B202,'[6]현황(26년)'!$C$5:$D$228,2,0)</f>
        <v>620</v>
      </c>
    </row>
    <row r="203" spans="1:13" s="1" customFormat="1">
      <c r="A203" s="27"/>
      <c r="B203" s="11" t="s">
        <v>346</v>
      </c>
      <c r="C203" s="11" t="s">
        <v>347</v>
      </c>
      <c r="D203" s="10" t="s">
        <v>501</v>
      </c>
      <c r="E203" s="10">
        <v>2013</v>
      </c>
      <c r="F203" s="11"/>
      <c r="G203" s="11">
        <v>12</v>
      </c>
      <c r="H203" s="26">
        <f>VLOOKUP(B203,'[1]현황(21년)'!$D$5:$E$275,2,0)</f>
        <v>951</v>
      </c>
      <c r="I203" s="26">
        <f>VLOOKUP(B203,'[2]현황(22년)'!$D$5:$E$275,2,0)</f>
        <v>990</v>
      </c>
      <c r="J203" s="26">
        <f>VLOOKUP(B203,'[3]현황(23년)'!$C$5:$D$264,2,0)</f>
        <v>382</v>
      </c>
      <c r="K203" s="26">
        <f>VLOOKUP(B203,'[4]현황(24년)'!$C$5:$D$245,2,0)</f>
        <v>541</v>
      </c>
      <c r="L203" s="26">
        <f>VLOOKUP(B203,'[5]현황(25년)'!$C$5:$D$233,2,0)</f>
        <v>356</v>
      </c>
      <c r="M203" s="26">
        <f>VLOOKUP(B203,'[6]현황(26년)'!$C$5:$D$228,2,0)</f>
        <v>173</v>
      </c>
    </row>
    <row r="204" spans="1:13" s="1" customFormat="1">
      <c r="A204" s="27"/>
      <c r="B204" s="11" t="s">
        <v>348</v>
      </c>
      <c r="C204" s="11" t="s">
        <v>349</v>
      </c>
      <c r="D204" s="10" t="s">
        <v>501</v>
      </c>
      <c r="E204" s="10">
        <v>2013</v>
      </c>
      <c r="F204" s="11"/>
      <c r="G204" s="11">
        <v>19</v>
      </c>
      <c r="H204" s="26">
        <f>VLOOKUP(B204,'[1]현황(21년)'!$D$5:$E$275,2,0)</f>
        <v>2548</v>
      </c>
      <c r="I204" s="26">
        <f>VLOOKUP(B204,'[2]현황(22년)'!$D$5:$E$275,2,0)</f>
        <v>2677</v>
      </c>
      <c r="J204" s="26">
        <f>VLOOKUP(B204,'[3]현황(23년)'!$C$5:$D$264,2,0)</f>
        <v>3257</v>
      </c>
      <c r="K204" s="26">
        <f>VLOOKUP(B204,'[4]현황(24년)'!$C$5:$D$245,2,0)</f>
        <v>2830</v>
      </c>
      <c r="L204" s="26">
        <f>VLOOKUP(B204,'[5]현황(25년)'!$C$5:$D$233,2,0)</f>
        <v>2812</v>
      </c>
      <c r="M204" s="26">
        <f>VLOOKUP(B204,'[6]현황(26년)'!$C$5:$D$228,2,0)</f>
        <v>1146</v>
      </c>
    </row>
    <row r="205" spans="1:13" s="1" customFormat="1">
      <c r="A205" s="27"/>
      <c r="B205" s="11" t="s">
        <v>482</v>
      </c>
      <c r="C205" s="11" t="s">
        <v>350</v>
      </c>
      <c r="D205" s="10" t="s">
        <v>508</v>
      </c>
      <c r="E205" s="10">
        <v>2013</v>
      </c>
      <c r="F205" s="11"/>
      <c r="G205" s="11">
        <v>26</v>
      </c>
      <c r="H205" s="26">
        <v>3173</v>
      </c>
      <c r="I205" s="26">
        <v>3068</v>
      </c>
      <c r="J205" s="26">
        <f>VLOOKUP(B205,'[3]현황(23년)'!$C$5:$D$264,2,0)</f>
        <v>2112</v>
      </c>
      <c r="K205" s="26">
        <f>VLOOKUP(B205,'[4]현황(24년)'!$C$5:$D$245,2,0)</f>
        <v>1859</v>
      </c>
      <c r="L205" s="26">
        <f>VLOOKUP(B205,'[5]현황(25년)'!$C$5:$D$233,2,0)</f>
        <v>2030</v>
      </c>
      <c r="M205" s="26">
        <f>VLOOKUP(B205,'[6]현황(26년)'!$C$5:$D$228,2,0)</f>
        <v>764</v>
      </c>
    </row>
    <row r="206" spans="1:13" s="1" customFormat="1">
      <c r="A206" s="27"/>
      <c r="B206" s="11" t="s">
        <v>351</v>
      </c>
      <c r="C206" s="11" t="s">
        <v>352</v>
      </c>
      <c r="D206" s="10" t="s">
        <v>501</v>
      </c>
      <c r="E206" s="10">
        <v>2013</v>
      </c>
      <c r="F206" s="11"/>
      <c r="G206" s="11">
        <v>19</v>
      </c>
      <c r="H206" s="26">
        <f>VLOOKUP(B206,'[1]현황(21년)'!$D$5:$E$275,2,0)</f>
        <v>3401</v>
      </c>
      <c r="I206" s="26">
        <f>VLOOKUP(B206,'[2]현황(22년)'!$D$5:$E$275,2,0)</f>
        <v>3405</v>
      </c>
      <c r="J206" s="26">
        <f>VLOOKUP(B206,'[3]현황(23년)'!$C$5:$D$264,2,0)</f>
        <v>2760</v>
      </c>
      <c r="K206" s="26">
        <f>VLOOKUP(B206,'[4]현황(24년)'!$C$5:$D$245,2,0)</f>
        <v>3591</v>
      </c>
      <c r="L206" s="26">
        <f>VLOOKUP(B206,'[5]현황(25년)'!$C$5:$D$233,2,0)</f>
        <v>3460</v>
      </c>
      <c r="M206" s="26">
        <f>VLOOKUP(B206,'[6]현황(26년)'!$C$5:$D$228,2,0)</f>
        <v>1826</v>
      </c>
    </row>
    <row r="207" spans="1:13" s="1" customFormat="1">
      <c r="A207" s="27" t="s">
        <v>353</v>
      </c>
      <c r="B207" s="11" t="s">
        <v>354</v>
      </c>
      <c r="C207" s="11" t="s">
        <v>355</v>
      </c>
      <c r="D207" s="10" t="s">
        <v>501</v>
      </c>
      <c r="E207" s="10">
        <v>2021</v>
      </c>
      <c r="F207" s="11"/>
      <c r="G207" s="11">
        <v>19</v>
      </c>
      <c r="H207" s="26">
        <f>VLOOKUP(B207,'[1]현황(21년)'!$D$5:$E$275,2,0)</f>
        <v>32</v>
      </c>
      <c r="I207" s="26">
        <f>VLOOKUP(B207,'[2]현황(22년)'!$D$5:$E$275,2,0)</f>
        <v>718</v>
      </c>
      <c r="J207" s="26">
        <f>VLOOKUP(B207,'[3]현황(23년)'!$C$5:$D$264,2,0)</f>
        <v>1298</v>
      </c>
      <c r="K207" s="26">
        <f>VLOOKUP(B207,'[4]현황(24년)'!$C$5:$D$245,2,0)</f>
        <v>2684</v>
      </c>
      <c r="L207" s="26">
        <f>VLOOKUP(B207,'[5]현황(25년)'!$C$5:$D$233,2,0)</f>
        <v>2379</v>
      </c>
      <c r="M207" s="26">
        <f>VLOOKUP(B207,'[6]현황(26년)'!$C$5:$D$228,2,0)</f>
        <v>869</v>
      </c>
    </row>
    <row r="208" spans="1:13" s="1" customFormat="1">
      <c r="A208" s="27"/>
      <c r="B208" s="11" t="s">
        <v>356</v>
      </c>
      <c r="C208" s="11" t="s">
        <v>357</v>
      </c>
      <c r="D208" s="10" t="s">
        <v>501</v>
      </c>
      <c r="E208" s="10">
        <v>2022</v>
      </c>
      <c r="F208" s="11"/>
      <c r="G208" s="11">
        <v>12</v>
      </c>
      <c r="H208" s="26" t="s">
        <v>585</v>
      </c>
      <c r="I208" s="26">
        <f>VLOOKUP(B208,'[2]현황(22년)'!$D$5:$E$275,2,0)</f>
        <v>204</v>
      </c>
      <c r="J208" s="26">
        <f>VLOOKUP(B208,'[3]현황(23년)'!$C$5:$D$264,2,0)</f>
        <v>237</v>
      </c>
      <c r="K208" s="26">
        <f>VLOOKUP(B208,'[4]현황(24년)'!$C$5:$D$245,2,0)</f>
        <v>645</v>
      </c>
      <c r="L208" s="26">
        <f>VLOOKUP(B208,'[5]현황(25년)'!$C$5:$D$233,2,0)</f>
        <v>308</v>
      </c>
      <c r="M208" s="26">
        <f>VLOOKUP(B208,'[6]현황(26년)'!$C$5:$D$228,2,0)</f>
        <v>148</v>
      </c>
    </row>
    <row r="209" spans="1:13" s="1" customFormat="1">
      <c r="A209" s="27"/>
      <c r="B209" s="11" t="s">
        <v>358</v>
      </c>
      <c r="C209" s="11" t="s">
        <v>359</v>
      </c>
      <c r="D209" s="10" t="s">
        <v>501</v>
      </c>
      <c r="E209" s="10">
        <v>2019</v>
      </c>
      <c r="F209" s="11"/>
      <c r="G209" s="11">
        <v>12</v>
      </c>
      <c r="H209" s="26">
        <f>VLOOKUP(B209,'[1]현황(21년)'!$D$5:$E$275,2,0)</f>
        <v>1399</v>
      </c>
      <c r="I209" s="26">
        <f>VLOOKUP(B209,'[2]현황(22년)'!$D$5:$E$275,2,0)</f>
        <v>1086.1083333333333</v>
      </c>
      <c r="J209" s="26">
        <f>VLOOKUP(B209,'[3]현황(23년)'!$C$5:$D$264,2,0)</f>
        <v>1100</v>
      </c>
      <c r="K209" s="26">
        <f>VLOOKUP(B209,'[4]현황(24년)'!$C$5:$D$245,2,0)</f>
        <v>551</v>
      </c>
      <c r="L209" s="26">
        <f>VLOOKUP(B209,'[5]현황(25년)'!$C$5:$D$233,2,0)</f>
        <v>562</v>
      </c>
      <c r="M209" s="26">
        <f>VLOOKUP(B209,'[6]현황(26년)'!$C$5:$D$228,2,0)</f>
        <v>236</v>
      </c>
    </row>
    <row r="210" spans="1:13" s="1" customFormat="1">
      <c r="A210" s="27"/>
      <c r="B210" s="11" t="s">
        <v>360</v>
      </c>
      <c r="C210" s="11" t="s">
        <v>361</v>
      </c>
      <c r="D210" s="10" t="s">
        <v>501</v>
      </c>
      <c r="E210" s="10">
        <v>2017</v>
      </c>
      <c r="F210" s="11"/>
      <c r="G210" s="11">
        <v>19</v>
      </c>
      <c r="H210" s="26">
        <f>VLOOKUP(B210,'[1]현황(21년)'!$D$5:$E$275,2,0)</f>
        <v>2605</v>
      </c>
      <c r="I210" s="26">
        <f>VLOOKUP(B210,'[2]현황(22년)'!$D$5:$E$275,2,0)</f>
        <v>3120</v>
      </c>
      <c r="J210" s="26">
        <f>VLOOKUP(B210,'[3]현황(23년)'!$C$5:$D$264,2,0)</f>
        <v>2435</v>
      </c>
      <c r="K210" s="26">
        <f>VLOOKUP(B210,'[4]현황(24년)'!$C$5:$D$245,2,0)</f>
        <v>2627</v>
      </c>
      <c r="L210" s="26">
        <f>VLOOKUP(B210,'[5]현황(25년)'!$C$5:$D$233,2,0)</f>
        <v>2585</v>
      </c>
      <c r="M210" s="26">
        <f>VLOOKUP(B210,'[6]현황(26년)'!$C$5:$D$228,2,0)</f>
        <v>865</v>
      </c>
    </row>
    <row r="211" spans="1:13" s="1" customFormat="1">
      <c r="A211" s="27"/>
      <c r="B211" s="11" t="s">
        <v>362</v>
      </c>
      <c r="C211" s="11" t="s">
        <v>363</v>
      </c>
      <c r="D211" s="10" t="s">
        <v>501</v>
      </c>
      <c r="E211" s="10">
        <v>2016</v>
      </c>
      <c r="F211" s="11"/>
      <c r="G211" s="11">
        <v>19</v>
      </c>
      <c r="H211" s="26">
        <f>VLOOKUP(B211,'[1]현황(21년)'!$D$5:$E$275,2,0)</f>
        <v>3185</v>
      </c>
      <c r="I211" s="26">
        <f>VLOOKUP(B211,'[2]현황(22년)'!$D$5:$E$275,2,0)</f>
        <v>2800</v>
      </c>
      <c r="J211" s="26">
        <f>VLOOKUP(B211,'[3]현황(23년)'!$C$5:$D$264,2,0)</f>
        <v>1920</v>
      </c>
      <c r="K211" s="26">
        <f>VLOOKUP(B211,'[4]현황(24년)'!$C$5:$D$245,2,0)</f>
        <v>2592</v>
      </c>
      <c r="L211" s="26">
        <f>VLOOKUP(B211,'[5]현황(25년)'!$C$5:$D$233,2,0)</f>
        <v>2266</v>
      </c>
      <c r="M211" s="26">
        <f>VLOOKUP(B211,'[6]현황(26년)'!$C$5:$D$228,2,0)</f>
        <v>1219</v>
      </c>
    </row>
    <row r="212" spans="1:13" s="1" customFormat="1">
      <c r="A212" s="27"/>
      <c r="B212" s="11" t="s">
        <v>364</v>
      </c>
      <c r="C212" s="11" t="s">
        <v>365</v>
      </c>
      <c r="D212" s="10" t="s">
        <v>501</v>
      </c>
      <c r="E212" s="10">
        <v>2016</v>
      </c>
      <c r="F212" s="11"/>
      <c r="G212" s="11">
        <v>19</v>
      </c>
      <c r="H212" s="26">
        <f>VLOOKUP(B212,'[1]현황(21년)'!$D$5:$E$275,2,0)</f>
        <v>2479</v>
      </c>
      <c r="I212" s="26">
        <f>VLOOKUP(B212,'[2]현황(22년)'!$D$5:$E$275,2,0)</f>
        <v>2992</v>
      </c>
      <c r="J212" s="26">
        <f>VLOOKUP(B212,'[3]현황(23년)'!$C$5:$D$264,2,0)</f>
        <v>2561</v>
      </c>
      <c r="K212" s="26">
        <f>VLOOKUP(B212,'[4]현황(24년)'!$C$5:$D$245,2,0)</f>
        <v>3156</v>
      </c>
      <c r="L212" s="26">
        <f>VLOOKUP(B212,'[5]현황(25년)'!$C$5:$D$233,2,0)</f>
        <v>2860</v>
      </c>
      <c r="M212" s="26">
        <f>VLOOKUP(B212,'[6]현황(26년)'!$C$5:$D$228,2,0)</f>
        <v>1180</v>
      </c>
    </row>
    <row r="213" spans="1:13" s="1" customFormat="1">
      <c r="A213" s="27"/>
      <c r="B213" s="11" t="s">
        <v>366</v>
      </c>
      <c r="C213" s="11" t="s">
        <v>367</v>
      </c>
      <c r="D213" s="10" t="s">
        <v>486</v>
      </c>
      <c r="E213" s="10">
        <v>2015</v>
      </c>
      <c r="F213" s="11">
        <v>2025</v>
      </c>
      <c r="G213" s="11">
        <v>19</v>
      </c>
      <c r="H213" s="26">
        <f>VLOOKUP(B213,'[1]현황(21년)'!$D$5:$E$275,2,0)</f>
        <v>1262</v>
      </c>
      <c r="I213" s="26">
        <f>VLOOKUP(B213,'[2]현황(22년)'!$D$5:$E$275,2,0)</f>
        <v>1154</v>
      </c>
      <c r="J213" s="26">
        <f>VLOOKUP(B213,'[3]현황(23년)'!$C$5:$D$264,2,0)</f>
        <v>786</v>
      </c>
      <c r="K213" s="26">
        <f>VLOOKUP(B213,'[4]현황(24년)'!$C$5:$D$245,2,0)</f>
        <v>639</v>
      </c>
      <c r="L213" s="26" t="s">
        <v>585</v>
      </c>
      <c r="M213" s="26" t="s">
        <v>585</v>
      </c>
    </row>
    <row r="214" spans="1:13" s="1" customFormat="1">
      <c r="A214" s="27"/>
      <c r="B214" s="11" t="s">
        <v>368</v>
      </c>
      <c r="C214" s="11" t="s">
        <v>369</v>
      </c>
      <c r="D214" s="10" t="s">
        <v>501</v>
      </c>
      <c r="E214" s="10">
        <v>2014</v>
      </c>
      <c r="F214" s="11"/>
      <c r="G214" s="11">
        <v>19</v>
      </c>
      <c r="H214" s="26">
        <f>VLOOKUP(B214,'[1]현황(21년)'!$D$5:$E$275,2,0)</f>
        <v>2091</v>
      </c>
      <c r="I214" s="26">
        <f>VLOOKUP(B214,'[2]현황(22년)'!$D$5:$E$275,2,0)</f>
        <v>1673</v>
      </c>
      <c r="J214" s="26">
        <f>VLOOKUP(B214,'[3]현황(23년)'!$C$5:$D$264,2,0)</f>
        <v>1734</v>
      </c>
      <c r="K214" s="26">
        <f>VLOOKUP(B214,'[4]현황(24년)'!$C$5:$D$245,2,0)</f>
        <v>1996</v>
      </c>
      <c r="L214" s="26">
        <f>VLOOKUP(B214,'[5]현황(25년)'!$C$5:$D$233,2,0)</f>
        <v>1183</v>
      </c>
      <c r="M214" s="26">
        <f>VLOOKUP(B214,'[6]현황(26년)'!$C$5:$D$228,2,0)</f>
        <v>561</v>
      </c>
    </row>
    <row r="215" spans="1:13" s="1" customFormat="1">
      <c r="A215" s="27"/>
      <c r="B215" s="12" t="s">
        <v>576</v>
      </c>
      <c r="C215" s="11" t="s">
        <v>370</v>
      </c>
      <c r="D215" s="10" t="s">
        <v>508</v>
      </c>
      <c r="E215" s="10">
        <v>2014</v>
      </c>
      <c r="F215" s="11"/>
      <c r="G215" s="11">
        <v>19</v>
      </c>
      <c r="H215" s="26">
        <v>1434</v>
      </c>
      <c r="I215" s="26">
        <v>1175</v>
      </c>
      <c r="J215" s="26">
        <v>1312</v>
      </c>
      <c r="K215" s="26">
        <v>1426</v>
      </c>
      <c r="L215" s="26">
        <f>VLOOKUP(B215,'[5]현황(25년)'!$C$5:$D$233,2,0)</f>
        <v>756</v>
      </c>
      <c r="M215" s="26">
        <f>VLOOKUP(B215,'[6]현황(26년)'!$C$5:$D$228,2,0)</f>
        <v>341</v>
      </c>
    </row>
    <row r="216" spans="1:13" s="1" customFormat="1">
      <c r="A216" s="27"/>
      <c r="B216" s="12" t="s">
        <v>575</v>
      </c>
      <c r="C216" s="11" t="s">
        <v>371</v>
      </c>
      <c r="D216" s="10" t="s">
        <v>508</v>
      </c>
      <c r="E216" s="10">
        <v>2013</v>
      </c>
      <c r="F216" s="11"/>
      <c r="G216" s="11">
        <v>47</v>
      </c>
      <c r="H216" s="26">
        <v>9614</v>
      </c>
      <c r="I216" s="26">
        <v>7866</v>
      </c>
      <c r="J216" s="26">
        <f>VLOOKUP(B216,'[3]현황(23년)'!$C$5:$D$264,2,0)</f>
        <v>6990</v>
      </c>
      <c r="K216" s="26">
        <f>VLOOKUP(B216,'[4]현황(24년)'!$C$5:$D$245,2,0)</f>
        <v>7121</v>
      </c>
      <c r="L216" s="26">
        <f>VLOOKUP(B216,'[5]현황(25년)'!$C$5:$D$233,2,0)</f>
        <v>4000</v>
      </c>
      <c r="M216" s="26">
        <f>VLOOKUP(B216,'[6]현황(26년)'!$C$5:$D$228,2,0)</f>
        <v>926</v>
      </c>
    </row>
    <row r="217" spans="1:13" s="1" customFormat="1">
      <c r="A217" s="27"/>
      <c r="B217" s="11" t="s">
        <v>372</v>
      </c>
      <c r="C217" s="11" t="s">
        <v>373</v>
      </c>
      <c r="D217" s="10" t="s">
        <v>501</v>
      </c>
      <c r="E217" s="10">
        <v>2013</v>
      </c>
      <c r="F217" s="11"/>
      <c r="G217" s="11">
        <v>19</v>
      </c>
      <c r="H217" s="26">
        <f>VLOOKUP(B217,'[1]현황(21년)'!$D$5:$E$275,2,0)</f>
        <v>3103</v>
      </c>
      <c r="I217" s="26">
        <f>VLOOKUP(B217,'[2]현황(22년)'!$D$5:$E$275,2,0)</f>
        <v>1878</v>
      </c>
      <c r="J217" s="26">
        <f>VLOOKUP(B217,'[3]현황(23년)'!$C$5:$D$264,2,0)</f>
        <v>1891</v>
      </c>
      <c r="K217" s="26">
        <f>VLOOKUP(B217,'[4]현황(24년)'!$C$5:$D$245,2,0)</f>
        <v>2316</v>
      </c>
      <c r="L217" s="26">
        <f>VLOOKUP(B217,'[5]현황(25년)'!$C$5:$D$233,2,0)</f>
        <v>2018</v>
      </c>
      <c r="M217" s="26">
        <f>VLOOKUP(B217,'[6]현황(26년)'!$C$5:$D$228,2,0)</f>
        <v>1191</v>
      </c>
    </row>
    <row r="218" spans="1:13" s="1" customFormat="1">
      <c r="A218" s="27"/>
      <c r="B218" s="11" t="s">
        <v>374</v>
      </c>
      <c r="C218" s="11" t="s">
        <v>375</v>
      </c>
      <c r="D218" s="10" t="s">
        <v>501</v>
      </c>
      <c r="E218" s="10">
        <v>2013</v>
      </c>
      <c r="F218" s="11"/>
      <c r="G218" s="11">
        <v>33</v>
      </c>
      <c r="H218" s="26">
        <f>VLOOKUP(B218,'[1]현황(21년)'!$D$5:$E$275,2,0)</f>
        <v>6790</v>
      </c>
      <c r="I218" s="26">
        <f>VLOOKUP(B218,'[2]현황(22년)'!$D$5:$E$275,2,0)</f>
        <v>5195</v>
      </c>
      <c r="J218" s="26">
        <f>VLOOKUP(B218,'[3]현황(23년)'!$C$5:$D$264,2,0)</f>
        <v>4623</v>
      </c>
      <c r="K218" s="26">
        <f>VLOOKUP(B218,'[4]현황(24년)'!$C$5:$D$245,2,0)</f>
        <v>4308</v>
      </c>
      <c r="L218" s="26">
        <f>VLOOKUP(B218,'[5]현황(25년)'!$C$5:$D$233,2,0)</f>
        <v>4401</v>
      </c>
      <c r="M218" s="26">
        <f>VLOOKUP(B218,'[6]현황(26년)'!$C$5:$D$228,2,0)</f>
        <v>2720</v>
      </c>
    </row>
    <row r="219" spans="1:13" s="1" customFormat="1">
      <c r="A219" s="27"/>
      <c r="B219" s="11" t="s">
        <v>376</v>
      </c>
      <c r="C219" s="11" t="s">
        <v>377</v>
      </c>
      <c r="D219" s="10" t="s">
        <v>486</v>
      </c>
      <c r="E219" s="10" t="s">
        <v>566</v>
      </c>
      <c r="F219" s="11">
        <v>2026</v>
      </c>
      <c r="G219" s="11">
        <v>12</v>
      </c>
      <c r="H219" s="26">
        <f>VLOOKUP(B219,'[1]현황(21년)'!$D$5:$E$275,2,0)</f>
        <v>693</v>
      </c>
      <c r="I219" s="26">
        <f>VLOOKUP(B219,'[2]현황(22년)'!$D$5:$E$275,2,0)</f>
        <v>712</v>
      </c>
      <c r="J219" s="26">
        <f>VLOOKUP(B219,'[3]현황(23년)'!$C$5:$D$264,2,0)</f>
        <v>911</v>
      </c>
      <c r="K219" s="26">
        <f>VLOOKUP(B219,'[4]현황(24년)'!$C$5:$D$245,2,0)</f>
        <v>740</v>
      </c>
      <c r="L219" s="26">
        <f>VLOOKUP(B219,'[5]현황(25년)'!$C$5:$D$233,2,0)</f>
        <v>670</v>
      </c>
      <c r="M219" s="26" t="s">
        <v>585</v>
      </c>
    </row>
    <row r="220" spans="1:13" s="1" customFormat="1">
      <c r="A220" s="27"/>
      <c r="B220" s="12" t="s">
        <v>577</v>
      </c>
      <c r="C220" s="11" t="s">
        <v>378</v>
      </c>
      <c r="D220" s="10" t="s">
        <v>508</v>
      </c>
      <c r="E220" s="10">
        <v>2019</v>
      </c>
      <c r="F220" s="11"/>
      <c r="G220" s="11">
        <v>12</v>
      </c>
      <c r="H220" s="26">
        <f>VLOOKUP(B220,'[1]현황(21년)'!$D$5:$E$275,2,0)</f>
        <v>1080</v>
      </c>
      <c r="I220" s="26">
        <f>VLOOKUP(B220,'[2]현황(22년)'!$D$5:$E$275,2,0)</f>
        <v>1173.3194444444443</v>
      </c>
      <c r="J220" s="26">
        <f>VLOOKUP(B220,'[3]현황(23년)'!$C$5:$D$264,2,0)</f>
        <v>1954</v>
      </c>
      <c r="K220" s="26">
        <f>VLOOKUP(B220,'[4]현황(24년)'!$C$5:$D$245,2,0)</f>
        <v>1722</v>
      </c>
      <c r="L220" s="26">
        <f>VLOOKUP(B220,'[5]현황(25년)'!$C$5:$D$233,2,0)</f>
        <v>1833</v>
      </c>
      <c r="M220" s="26">
        <f>VLOOKUP(B220,'[6]현황(26년)'!$C$5:$D$228,2,0)</f>
        <v>1018</v>
      </c>
    </row>
    <row r="221" spans="1:13" s="1" customFormat="1">
      <c r="A221" s="27" t="s">
        <v>379</v>
      </c>
      <c r="B221" s="11" t="s">
        <v>380</v>
      </c>
      <c r="C221" s="11" t="s">
        <v>381</v>
      </c>
      <c r="D221" s="10" t="s">
        <v>501</v>
      </c>
      <c r="E221" s="10">
        <v>2023</v>
      </c>
      <c r="F221" s="11"/>
      <c r="G221" s="11">
        <v>12</v>
      </c>
      <c r="H221" s="26" t="s">
        <v>585</v>
      </c>
      <c r="I221" s="26" t="s">
        <v>585</v>
      </c>
      <c r="J221" s="26">
        <f>VLOOKUP(B221,'[3]현황(23년)'!$C$5:$D$264,2,0)</f>
        <v>851</v>
      </c>
      <c r="K221" s="26">
        <f>VLOOKUP(B221,'[4]현황(24년)'!$C$5:$D$245,2,0)</f>
        <v>535</v>
      </c>
      <c r="L221" s="26">
        <f>VLOOKUP(B221,'[5]현황(25년)'!$C$5:$D$233,2,0)</f>
        <v>542</v>
      </c>
      <c r="M221" s="26">
        <f>VLOOKUP(B221,'[6]현황(26년)'!$C$5:$D$228,2,0)</f>
        <v>231</v>
      </c>
    </row>
    <row r="222" spans="1:13" s="1" customFormat="1">
      <c r="A222" s="27"/>
      <c r="B222" s="11" t="s">
        <v>593</v>
      </c>
      <c r="C222" s="11" t="s">
        <v>563</v>
      </c>
      <c r="D222" s="10" t="s">
        <v>508</v>
      </c>
      <c r="E222" s="10">
        <v>2022</v>
      </c>
      <c r="F222" s="11"/>
      <c r="G222" s="11">
        <v>12</v>
      </c>
      <c r="H222" s="26" t="s">
        <v>585</v>
      </c>
      <c r="I222" s="26">
        <f>VLOOKUP(B222,'[2]현황(22년)'!$D$5:$E$275,2,0)</f>
        <v>26</v>
      </c>
      <c r="J222" s="26">
        <f>VLOOKUP(B222,'[3]현황(23년)'!$C$5:$D$264,2,0)</f>
        <v>565</v>
      </c>
      <c r="K222" s="26">
        <v>1554</v>
      </c>
      <c r="L222" s="26">
        <v>1397</v>
      </c>
      <c r="M222" s="26">
        <v>685</v>
      </c>
    </row>
    <row r="223" spans="1:13" s="1" customFormat="1">
      <c r="A223" s="27"/>
      <c r="B223" s="11" t="s">
        <v>382</v>
      </c>
      <c r="C223" s="11" t="s">
        <v>383</v>
      </c>
      <c r="D223" s="10" t="s">
        <v>501</v>
      </c>
      <c r="E223" s="10">
        <v>2019</v>
      </c>
      <c r="F223" s="11"/>
      <c r="G223" s="11">
        <v>12</v>
      </c>
      <c r="H223" s="26">
        <f>VLOOKUP(B223,'[1]현황(21년)'!$D$5:$E$275,2,0)</f>
        <v>784</v>
      </c>
      <c r="I223" s="26">
        <f>VLOOKUP(B223,'[2]현황(22년)'!$D$5:$E$275,2,0)</f>
        <v>1149.2916666666665</v>
      </c>
      <c r="J223" s="26">
        <f>VLOOKUP(B223,'[3]현황(23년)'!$C$5:$D$264,2,0)</f>
        <v>1368</v>
      </c>
      <c r="K223" s="26">
        <f>VLOOKUP(B223,'[4]현황(24년)'!$C$5:$D$245,2,0)</f>
        <v>1405</v>
      </c>
      <c r="L223" s="26">
        <f>VLOOKUP(B223,'[5]현황(25년)'!$C$5:$D$233,2,0)</f>
        <v>1800</v>
      </c>
      <c r="M223" s="26">
        <f>VLOOKUP(B223,'[6]현황(26년)'!$C$5:$D$228,2,0)</f>
        <v>709</v>
      </c>
    </row>
    <row r="224" spans="1:13" s="1" customFormat="1">
      <c r="A224" s="27"/>
      <c r="B224" s="11" t="s">
        <v>500</v>
      </c>
      <c r="C224" s="11" t="s">
        <v>384</v>
      </c>
      <c r="D224" s="10" t="s">
        <v>487</v>
      </c>
      <c r="E224" s="10">
        <v>2019</v>
      </c>
      <c r="F224" s="11">
        <v>2024</v>
      </c>
      <c r="G224" s="11">
        <v>12</v>
      </c>
      <c r="H224" s="26">
        <f>VLOOKUP(B224,'[1]현황(21년)'!$D$5:$E$275,2,0)</f>
        <v>298</v>
      </c>
      <c r="I224" s="26">
        <f>VLOOKUP(B224,'[2]현황(22년)'!$D$5:$E$275,2,0)</f>
        <v>377.12222222222226</v>
      </c>
      <c r="J224" s="26">
        <f>VLOOKUP(B224,'[3]현황(23년)'!$C$5:$D$264,2,0)</f>
        <v>388</v>
      </c>
      <c r="K224" s="26" t="s">
        <v>585</v>
      </c>
      <c r="L224" s="26" t="s">
        <v>585</v>
      </c>
      <c r="M224" s="26" t="s">
        <v>585</v>
      </c>
    </row>
    <row r="225" spans="1:13" s="1" customFormat="1">
      <c r="A225" s="27"/>
      <c r="B225" s="11" t="s">
        <v>385</v>
      </c>
      <c r="C225" s="11" t="s">
        <v>386</v>
      </c>
      <c r="D225" s="10" t="s">
        <v>501</v>
      </c>
      <c r="E225" s="10">
        <v>2017</v>
      </c>
      <c r="F225" s="11"/>
      <c r="G225" s="11">
        <v>19</v>
      </c>
      <c r="H225" s="26">
        <f>VLOOKUP(B225,'[1]현황(21년)'!$D$5:$E$275,2,0)</f>
        <v>3720</v>
      </c>
      <c r="I225" s="26">
        <f>VLOOKUP(B225,'[2]현황(22년)'!$D$5:$E$275,2,0)</f>
        <v>3060</v>
      </c>
      <c r="J225" s="26">
        <f>VLOOKUP(B225,'[3]현황(23년)'!$C$5:$D$264,2,0)</f>
        <v>2787</v>
      </c>
      <c r="K225" s="26">
        <f>VLOOKUP(B225,'[4]현황(24년)'!$C$5:$D$245,2,0)</f>
        <v>3473</v>
      </c>
      <c r="L225" s="26">
        <f>VLOOKUP(B225,'[5]현황(25년)'!$C$5:$D$233,2,0)</f>
        <v>2514</v>
      </c>
      <c r="M225" s="26">
        <f>VLOOKUP(B225,'[6]현황(26년)'!$C$5:$D$228,2,0)</f>
        <v>1011</v>
      </c>
    </row>
    <row r="226" spans="1:13" s="1" customFormat="1">
      <c r="A226" s="27"/>
      <c r="B226" s="11" t="s">
        <v>387</v>
      </c>
      <c r="C226" s="11" t="s">
        <v>388</v>
      </c>
      <c r="D226" s="10" t="s">
        <v>501</v>
      </c>
      <c r="E226" s="10">
        <v>2016</v>
      </c>
      <c r="F226" s="11"/>
      <c r="G226" s="11">
        <v>26</v>
      </c>
      <c r="H226" s="26">
        <f>VLOOKUP(B226,'[1]현황(21년)'!$D$5:$E$275,2,0)</f>
        <v>4379</v>
      </c>
      <c r="I226" s="26">
        <f>VLOOKUP(B226,'[2]현황(22년)'!$D$5:$E$275,2,0)</f>
        <v>3284</v>
      </c>
      <c r="J226" s="26">
        <f>VLOOKUP(B226,'[3]현황(23년)'!$C$5:$D$264,2,0)</f>
        <v>3246</v>
      </c>
      <c r="K226" s="26">
        <f>VLOOKUP(B226,'[4]현황(24년)'!$C$5:$D$245,2,0)</f>
        <v>3484</v>
      </c>
      <c r="L226" s="26">
        <f>VLOOKUP(B226,'[5]현황(25년)'!$C$5:$D$233,2,0)</f>
        <v>3261</v>
      </c>
      <c r="M226" s="26">
        <f>VLOOKUP(B226,'[6]현황(26년)'!$C$5:$D$228,2,0)</f>
        <v>1472</v>
      </c>
    </row>
    <row r="227" spans="1:13" s="1" customFormat="1">
      <c r="A227" s="27"/>
      <c r="B227" s="11" t="s">
        <v>389</v>
      </c>
      <c r="C227" s="11" t="s">
        <v>390</v>
      </c>
      <c r="D227" s="10" t="s">
        <v>501</v>
      </c>
      <c r="E227" s="10">
        <v>2016</v>
      </c>
      <c r="F227" s="11"/>
      <c r="G227" s="11">
        <v>19</v>
      </c>
      <c r="H227" s="26">
        <f>VLOOKUP(B227,'[1]현황(21년)'!$D$5:$E$275,2,0)</f>
        <v>2894</v>
      </c>
      <c r="I227" s="26">
        <f>VLOOKUP(B227,'[2]현황(22년)'!$D$5:$E$275,2,0)</f>
        <v>2926</v>
      </c>
      <c r="J227" s="26">
        <f>VLOOKUP(B227,'[3]현황(23년)'!$C$5:$D$264,2,0)</f>
        <v>3732</v>
      </c>
      <c r="K227" s="26">
        <f>VLOOKUP(B227,'[4]현황(24년)'!$C$5:$D$245,2,0)</f>
        <v>3219</v>
      </c>
      <c r="L227" s="26">
        <f>VLOOKUP(B227,'[5]현황(25년)'!$C$5:$D$233,2,0)</f>
        <v>2973</v>
      </c>
      <c r="M227" s="26">
        <f>VLOOKUP(B227,'[6]현황(26년)'!$C$5:$D$228,2,0)</f>
        <v>2317</v>
      </c>
    </row>
    <row r="228" spans="1:13" s="1" customFormat="1">
      <c r="A228" s="27"/>
      <c r="B228" s="11" t="s">
        <v>391</v>
      </c>
      <c r="C228" s="11" t="s">
        <v>392</v>
      </c>
      <c r="D228" s="10" t="s">
        <v>501</v>
      </c>
      <c r="E228" s="10">
        <v>2014</v>
      </c>
      <c r="F228" s="11"/>
      <c r="G228" s="11">
        <v>19</v>
      </c>
      <c r="H228" s="26">
        <f>VLOOKUP(B228,'[1]현황(21년)'!$D$5:$E$275,2,0)</f>
        <v>1749</v>
      </c>
      <c r="I228" s="26">
        <f>VLOOKUP(B228,'[2]현황(22년)'!$D$5:$E$275,2,0)</f>
        <v>1941</v>
      </c>
      <c r="J228" s="26">
        <f>VLOOKUP(B228,'[3]현황(23년)'!$C$5:$D$264,2,0)</f>
        <v>2014</v>
      </c>
      <c r="K228" s="26">
        <f>VLOOKUP(B228,'[4]현황(24년)'!$C$5:$D$245,2,0)</f>
        <v>2006</v>
      </c>
      <c r="L228" s="26">
        <f>VLOOKUP(B228,'[5]현황(25년)'!$C$5:$D$233,2,0)</f>
        <v>1867</v>
      </c>
      <c r="M228" s="26">
        <f>VLOOKUP(B228,'[6]현황(26년)'!$C$5:$D$228,2,0)</f>
        <v>661</v>
      </c>
    </row>
    <row r="229" spans="1:13" s="1" customFormat="1">
      <c r="A229" s="27"/>
      <c r="B229" s="11" t="s">
        <v>393</v>
      </c>
      <c r="C229" s="11" t="s">
        <v>394</v>
      </c>
      <c r="D229" s="10" t="s">
        <v>501</v>
      </c>
      <c r="E229" s="10">
        <v>2014</v>
      </c>
      <c r="F229" s="11"/>
      <c r="G229" s="11">
        <v>19</v>
      </c>
      <c r="H229" s="26">
        <f>VLOOKUP(B229,'[1]현황(21년)'!$D$5:$E$275,2,0)</f>
        <v>1582</v>
      </c>
      <c r="I229" s="26">
        <f>VLOOKUP(B229,'[2]현황(22년)'!$D$5:$E$275,2,0)</f>
        <v>1800</v>
      </c>
      <c r="J229" s="26">
        <f>VLOOKUP(B229,'[3]현황(23년)'!$C$5:$D$264,2,0)</f>
        <v>1648</v>
      </c>
      <c r="K229" s="26">
        <f>VLOOKUP(B229,'[4]현황(24년)'!$C$5:$D$245,2,0)</f>
        <v>1824</v>
      </c>
      <c r="L229" s="26">
        <f>VLOOKUP(B229,'[5]현황(25년)'!$C$5:$D$233,2,0)</f>
        <v>1762</v>
      </c>
      <c r="M229" s="26">
        <f>VLOOKUP(B229,'[6]현황(26년)'!$C$5:$D$228,2,0)</f>
        <v>592</v>
      </c>
    </row>
    <row r="230" spans="1:13" s="1" customFormat="1">
      <c r="A230" s="27"/>
      <c r="B230" s="11" t="s">
        <v>395</v>
      </c>
      <c r="C230" s="11" t="s">
        <v>396</v>
      </c>
      <c r="D230" s="10" t="s">
        <v>501</v>
      </c>
      <c r="E230" s="10">
        <v>2013</v>
      </c>
      <c r="F230" s="11"/>
      <c r="G230" s="11">
        <v>19</v>
      </c>
      <c r="H230" s="26">
        <f>VLOOKUP(B230,'[1]현황(21년)'!$D$5:$E$275,2,0)</f>
        <v>2559</v>
      </c>
      <c r="I230" s="26">
        <f>VLOOKUP(B230,'[2]현황(22년)'!$D$5:$E$275,2,0)</f>
        <v>2103</v>
      </c>
      <c r="J230" s="26">
        <f>VLOOKUP(B230,'[3]현황(23년)'!$C$5:$D$264,2,0)</f>
        <v>2009</v>
      </c>
      <c r="K230" s="26">
        <f>VLOOKUP(B230,'[4]현황(24년)'!$C$5:$D$245,2,0)</f>
        <v>1994</v>
      </c>
      <c r="L230" s="26">
        <f>VLOOKUP(B230,'[5]현황(25년)'!$C$5:$D$233,2,0)</f>
        <v>1506</v>
      </c>
      <c r="M230" s="26">
        <f>VLOOKUP(B230,'[6]현황(26년)'!$C$5:$D$228,2,0)</f>
        <v>633</v>
      </c>
    </row>
    <row r="231" spans="1:13" s="1" customFormat="1">
      <c r="A231" s="27"/>
      <c r="B231" s="11" t="s">
        <v>397</v>
      </c>
      <c r="C231" s="11" t="s">
        <v>398</v>
      </c>
      <c r="D231" s="10" t="s">
        <v>501</v>
      </c>
      <c r="E231" s="10">
        <v>2013</v>
      </c>
      <c r="F231" s="11"/>
      <c r="G231" s="11">
        <v>26</v>
      </c>
      <c r="H231" s="26">
        <f>VLOOKUP(B231,'[1]현황(21년)'!$D$5:$E$275,2,0)</f>
        <v>3787</v>
      </c>
      <c r="I231" s="26">
        <f>VLOOKUP(B231,'[2]현황(22년)'!$D$5:$E$275,2,0)</f>
        <v>3034</v>
      </c>
      <c r="J231" s="26">
        <f>VLOOKUP(B231,'[3]현황(23년)'!$C$5:$D$264,2,0)</f>
        <v>2774</v>
      </c>
      <c r="K231" s="26">
        <f>VLOOKUP(B231,'[4]현황(24년)'!$C$5:$D$245,2,0)</f>
        <v>1941</v>
      </c>
      <c r="L231" s="26">
        <f>VLOOKUP(B231,'[5]현황(25년)'!$C$5:$D$233,2,0)</f>
        <v>1532</v>
      </c>
      <c r="M231" s="26">
        <f>VLOOKUP(B231,'[6]현황(26년)'!$C$5:$D$228,2,0)</f>
        <v>734</v>
      </c>
    </row>
    <row r="232" spans="1:13" s="1" customFormat="1">
      <c r="A232" s="27"/>
      <c r="B232" s="11" t="s">
        <v>399</v>
      </c>
      <c r="C232" s="11" t="s">
        <v>400</v>
      </c>
      <c r="D232" s="10" t="s">
        <v>501</v>
      </c>
      <c r="E232" s="10">
        <v>2013</v>
      </c>
      <c r="F232" s="11"/>
      <c r="G232" s="11">
        <v>26</v>
      </c>
      <c r="H232" s="26">
        <f>VLOOKUP(B232,'[1]현황(21년)'!$D$5:$E$275,2,0)</f>
        <v>5317</v>
      </c>
      <c r="I232" s="26">
        <f>VLOOKUP(B232,'[2]현황(22년)'!$D$5:$E$275,2,0)</f>
        <v>5449</v>
      </c>
      <c r="J232" s="26">
        <f>VLOOKUP(B232,'[3]현황(23년)'!$C$5:$D$264,2,0)</f>
        <v>4639</v>
      </c>
      <c r="K232" s="26">
        <f>VLOOKUP(B232,'[4]현황(24년)'!$C$5:$D$245,2,0)</f>
        <v>5061</v>
      </c>
      <c r="L232" s="26">
        <f>VLOOKUP(B232,'[5]현황(25년)'!$C$5:$D$233,2,0)</f>
        <v>3655</v>
      </c>
      <c r="M232" s="26">
        <f>VLOOKUP(B232,'[6]현황(26년)'!$C$5:$D$228,2,0)</f>
        <v>1985</v>
      </c>
    </row>
    <row r="233" spans="1:13" s="1" customFormat="1">
      <c r="A233" s="27"/>
      <c r="B233" s="11" t="s">
        <v>541</v>
      </c>
      <c r="C233" s="11" t="s">
        <v>568</v>
      </c>
      <c r="D233" s="10" t="s">
        <v>487</v>
      </c>
      <c r="E233" s="10" t="s">
        <v>566</v>
      </c>
      <c r="F233" s="11">
        <v>2023</v>
      </c>
      <c r="G233" s="11"/>
      <c r="H233" s="26">
        <f>VLOOKUP(B233,'[1]현황(21년)'!$D$5:$E$275,2,0)</f>
        <v>1770</v>
      </c>
      <c r="I233" s="26">
        <f>VLOOKUP(B233,'[2]현황(22년)'!$D$5:$E$275,2,0)</f>
        <v>2112</v>
      </c>
      <c r="J233" s="26" t="s">
        <v>585</v>
      </c>
      <c r="K233" s="26" t="s">
        <v>585</v>
      </c>
      <c r="L233" s="26" t="s">
        <v>585</v>
      </c>
      <c r="M233" s="26" t="s">
        <v>585</v>
      </c>
    </row>
    <row r="234" spans="1:13" s="1" customFormat="1">
      <c r="A234" s="27"/>
      <c r="B234" s="11" t="s">
        <v>401</v>
      </c>
      <c r="C234" s="11" t="s">
        <v>402</v>
      </c>
      <c r="D234" s="10" t="s">
        <v>501</v>
      </c>
      <c r="E234" s="10">
        <v>2018</v>
      </c>
      <c r="F234" s="11"/>
      <c r="G234" s="11">
        <v>19</v>
      </c>
      <c r="H234" s="26">
        <f>VLOOKUP(B234,'[1]현황(21년)'!$D$5:$E$275,2,0)</f>
        <v>2805</v>
      </c>
      <c r="I234" s="26">
        <f>VLOOKUP(B234,'[2]현황(22년)'!$D$5:$E$275,2,0)</f>
        <v>2286</v>
      </c>
      <c r="J234" s="26">
        <f>VLOOKUP(B234,'[3]현황(23년)'!$C$5:$D$264,2,0)</f>
        <v>3321</v>
      </c>
      <c r="K234" s="26">
        <f>VLOOKUP(B234,'[4]현황(24년)'!$C$5:$D$245,2,0)</f>
        <v>3316</v>
      </c>
      <c r="L234" s="26">
        <f>VLOOKUP(B234,'[5]현황(25년)'!$C$5:$D$233,2,0)</f>
        <v>3236</v>
      </c>
      <c r="M234" s="26">
        <f>VLOOKUP(B234,'[6]현황(26년)'!$C$5:$D$228,2,0)</f>
        <v>1913</v>
      </c>
    </row>
    <row r="235" spans="1:13" s="1" customFormat="1">
      <c r="A235" s="27"/>
      <c r="B235" s="11" t="s">
        <v>522</v>
      </c>
      <c r="C235" s="11" t="s">
        <v>523</v>
      </c>
      <c r="D235" s="10" t="s">
        <v>508</v>
      </c>
      <c r="E235" s="10">
        <v>2024</v>
      </c>
      <c r="F235" s="11"/>
      <c r="G235" s="11"/>
      <c r="H235" s="26" t="s">
        <v>585</v>
      </c>
      <c r="I235" s="26" t="s">
        <v>585</v>
      </c>
      <c r="J235" s="26" t="s">
        <v>585</v>
      </c>
      <c r="K235" s="26">
        <f>VLOOKUP(B235,'[4]현황(24년)'!$C$5:$D$245,2,0)</f>
        <v>24</v>
      </c>
      <c r="L235" s="26">
        <f>VLOOKUP(B235,'[5]현황(25년)'!$C$5:$D$233,2,0)</f>
        <v>92</v>
      </c>
      <c r="M235" s="26">
        <f>VLOOKUP(B235,'[6]현황(26년)'!$C$5:$D$228,2,0)</f>
        <v>56</v>
      </c>
    </row>
    <row r="236" spans="1:13" s="1" customFormat="1">
      <c r="A236" s="27"/>
      <c r="B236" s="11" t="s">
        <v>521</v>
      </c>
      <c r="C236" s="11" t="s">
        <v>403</v>
      </c>
      <c r="D236" s="10" t="s">
        <v>508</v>
      </c>
      <c r="E236" s="10">
        <v>2018</v>
      </c>
      <c r="F236" s="11"/>
      <c r="G236" s="11">
        <v>12</v>
      </c>
      <c r="H236" s="26">
        <f>VLOOKUP(B236,'[1]현황(21년)'!$D$5:$E$275,2,0)</f>
        <v>1209</v>
      </c>
      <c r="I236" s="26">
        <f>VLOOKUP(B236,'[2]현황(22년)'!$D$5:$E$275,2,0)</f>
        <v>783</v>
      </c>
      <c r="J236" s="26">
        <f>VLOOKUP(B236,'[3]현황(23년)'!$C$5:$D$264,2,0)</f>
        <v>664</v>
      </c>
      <c r="K236" s="26">
        <f>VLOOKUP(B236,'[4]현황(24년)'!$C$5:$D$245,2,0)</f>
        <v>962</v>
      </c>
      <c r="L236" s="26">
        <f>VLOOKUP(B236,'[5]현황(25년)'!$C$5:$D$233,2,0)</f>
        <v>1261</v>
      </c>
      <c r="M236" s="26">
        <f>VLOOKUP(B236,'[6]현황(26년)'!$C$5:$D$228,2,0)</f>
        <v>486</v>
      </c>
    </row>
    <row r="237" spans="1:13" s="1" customFormat="1">
      <c r="A237" s="27"/>
      <c r="B237" s="13" t="s">
        <v>578</v>
      </c>
      <c r="C237" s="11" t="s">
        <v>404</v>
      </c>
      <c r="D237" s="10" t="s">
        <v>487</v>
      </c>
      <c r="E237" s="10">
        <v>2019</v>
      </c>
      <c r="F237" s="11">
        <v>2024</v>
      </c>
      <c r="G237" s="11">
        <v>12</v>
      </c>
      <c r="H237" s="26">
        <f>VLOOKUP(B237,'[1]현황(21년)'!$D$5:$E$275,2,0)</f>
        <v>727</v>
      </c>
      <c r="I237" s="26">
        <f>VLOOKUP(B237,'[2]현황(22년)'!$D$5:$E$275,2,0)</f>
        <v>716.06944444444446</v>
      </c>
      <c r="J237" s="26">
        <f>VLOOKUP(B237,'[3]현황(23년)'!$C$5:$D$264,2,0)</f>
        <v>436</v>
      </c>
      <c r="K237" s="26" t="s">
        <v>585</v>
      </c>
      <c r="L237" s="26" t="s">
        <v>585</v>
      </c>
      <c r="M237" s="26" t="s">
        <v>585</v>
      </c>
    </row>
    <row r="238" spans="1:13" s="1" customFormat="1">
      <c r="A238" s="27" t="s">
        <v>405</v>
      </c>
      <c r="B238" s="11" t="s">
        <v>406</v>
      </c>
      <c r="C238" s="11" t="s">
        <v>407</v>
      </c>
      <c r="D238" s="10" t="s">
        <v>501</v>
      </c>
      <c r="E238" s="10">
        <v>2020</v>
      </c>
      <c r="F238" s="11"/>
      <c r="G238" s="11">
        <v>12</v>
      </c>
      <c r="H238" s="26">
        <f>VLOOKUP(B238,'[1]현황(21년)'!$D$5:$E$275,2,0)</f>
        <v>272</v>
      </c>
      <c r="I238" s="26">
        <f>VLOOKUP(B238,'[2]현황(22년)'!$D$5:$E$275,2,0)</f>
        <v>1072</v>
      </c>
      <c r="J238" s="26">
        <f>VLOOKUP(B238,'[3]현황(23년)'!$C$5:$D$264,2,0)</f>
        <v>1344</v>
      </c>
      <c r="K238" s="26">
        <f>VLOOKUP(B238,'[4]현황(24년)'!$C$5:$D$245,2,0)</f>
        <v>1541</v>
      </c>
      <c r="L238" s="26">
        <f>VLOOKUP(B238,'[5]현황(25년)'!$C$5:$D$233,2,0)</f>
        <v>1545</v>
      </c>
      <c r="M238" s="26">
        <f>VLOOKUP(B238,'[6]현황(26년)'!$C$5:$D$228,2,0)</f>
        <v>720</v>
      </c>
    </row>
    <row r="239" spans="1:13" s="1" customFormat="1">
      <c r="A239" s="27"/>
      <c r="B239" s="11" t="s">
        <v>408</v>
      </c>
      <c r="C239" s="11" t="s">
        <v>409</v>
      </c>
      <c r="D239" s="10" t="s">
        <v>501</v>
      </c>
      <c r="E239" s="10">
        <v>2015</v>
      </c>
      <c r="F239" s="11"/>
      <c r="G239" s="11">
        <v>19</v>
      </c>
      <c r="H239" s="26">
        <f>VLOOKUP(B239,'[1]현황(21년)'!$D$5:$E$275,2,0)</f>
        <v>3543</v>
      </c>
      <c r="I239" s="26">
        <f>VLOOKUP(B239,'[2]현황(22년)'!$D$5:$E$275,2,0)</f>
        <v>3529</v>
      </c>
      <c r="J239" s="26">
        <f>VLOOKUP(B239,'[3]현황(23년)'!$C$5:$D$264,2,0)</f>
        <v>3183</v>
      </c>
      <c r="K239" s="26">
        <f>VLOOKUP(B239,'[4]현황(24년)'!$C$5:$D$245,2,0)</f>
        <v>3169</v>
      </c>
      <c r="L239" s="26">
        <f>VLOOKUP(B239,'[5]현황(25년)'!$C$5:$D$233,2,0)</f>
        <v>2743</v>
      </c>
      <c r="M239" s="26">
        <f>VLOOKUP(B239,'[6]현황(26년)'!$C$5:$D$228,2,0)</f>
        <v>1163</v>
      </c>
    </row>
    <row r="240" spans="1:13" s="1" customFormat="1">
      <c r="A240" s="27"/>
      <c r="B240" s="11" t="s">
        <v>410</v>
      </c>
      <c r="C240" s="11" t="s">
        <v>411</v>
      </c>
      <c r="D240" s="10" t="s">
        <v>501</v>
      </c>
      <c r="E240" s="10" t="s">
        <v>597</v>
      </c>
      <c r="F240" s="11"/>
      <c r="G240" s="11">
        <v>19</v>
      </c>
      <c r="H240" s="26">
        <f>VLOOKUP(B240,'[1]현황(21년)'!$D$5:$E$275,2,0)</f>
        <v>2627</v>
      </c>
      <c r="I240" s="26">
        <f>VLOOKUP(B240,'[2]현황(22년)'!$D$5:$E$275,2,0)</f>
        <v>2876</v>
      </c>
      <c r="J240" s="26">
        <f>VLOOKUP(B240,'[3]현황(23년)'!$C$5:$D$264,2,0)</f>
        <v>2911</v>
      </c>
      <c r="K240" s="26">
        <f>VLOOKUP(B240,'[4]현황(24년)'!$C$5:$D$245,2,0)</f>
        <v>3277</v>
      </c>
      <c r="L240" s="26">
        <f>VLOOKUP(B240,'[5]현황(25년)'!$C$5:$D$233,2,0)</f>
        <v>3017</v>
      </c>
      <c r="M240" s="26">
        <f>VLOOKUP(B240,'[6]현황(26년)'!$C$5:$D$228,2,0)</f>
        <v>1500</v>
      </c>
    </row>
    <row r="241" spans="1:13" s="1" customFormat="1">
      <c r="A241" s="27"/>
      <c r="B241" s="11" t="s">
        <v>412</v>
      </c>
      <c r="C241" s="11" t="s">
        <v>413</v>
      </c>
      <c r="D241" s="10" t="s">
        <v>501</v>
      </c>
      <c r="E241" s="10">
        <v>2014</v>
      </c>
      <c r="F241" s="11"/>
      <c r="G241" s="11">
        <v>19</v>
      </c>
      <c r="H241" s="26">
        <f>VLOOKUP(B241,'[1]현황(21년)'!$D$5:$E$275,2,0)</f>
        <v>4200</v>
      </c>
      <c r="I241" s="26">
        <f>VLOOKUP(B241,'[2]현황(22년)'!$D$5:$E$275,2,0)</f>
        <v>3645</v>
      </c>
      <c r="J241" s="26">
        <f>VLOOKUP(B241,'[3]현황(23년)'!$C$5:$D$264,2,0)</f>
        <v>3543</v>
      </c>
      <c r="K241" s="26">
        <f>VLOOKUP(B241,'[4]현황(24년)'!$C$5:$D$245,2,0)</f>
        <v>4113</v>
      </c>
      <c r="L241" s="26">
        <f>VLOOKUP(B241,'[5]현황(25년)'!$C$5:$D$233,2,0)</f>
        <v>4224</v>
      </c>
      <c r="M241" s="26">
        <f>VLOOKUP(B241,'[6]현황(26년)'!$C$5:$D$228,2,0)</f>
        <v>2204</v>
      </c>
    </row>
    <row r="242" spans="1:13" s="1" customFormat="1">
      <c r="A242" s="27"/>
      <c r="B242" s="11" t="s">
        <v>414</v>
      </c>
      <c r="C242" s="11" t="s">
        <v>415</v>
      </c>
      <c r="D242" s="10" t="s">
        <v>501</v>
      </c>
      <c r="E242" s="10">
        <v>2014</v>
      </c>
      <c r="F242" s="11"/>
      <c r="G242" s="11">
        <v>19</v>
      </c>
      <c r="H242" s="26">
        <f>VLOOKUP(B242,'[1]현황(21년)'!$D$5:$E$275,2,0)</f>
        <v>2362</v>
      </c>
      <c r="I242" s="26">
        <f>VLOOKUP(B242,'[2]현황(22년)'!$D$5:$E$275,2,0)</f>
        <v>1662</v>
      </c>
      <c r="J242" s="26">
        <f>VLOOKUP(B242,'[3]현황(23년)'!$C$5:$D$264,2,0)</f>
        <v>1696</v>
      </c>
      <c r="K242" s="26">
        <f>VLOOKUP(B242,'[4]현황(24년)'!$C$5:$D$245,2,0)</f>
        <v>1551</v>
      </c>
      <c r="L242" s="26">
        <f>VLOOKUP(B242,'[5]현황(25년)'!$C$5:$D$233,2,0)</f>
        <v>1636</v>
      </c>
      <c r="M242" s="26">
        <f>VLOOKUP(B242,'[6]현황(26년)'!$C$5:$D$228,2,0)</f>
        <v>656</v>
      </c>
    </row>
    <row r="243" spans="1:13" s="1" customFormat="1">
      <c r="A243" s="27"/>
      <c r="B243" s="11" t="s">
        <v>542</v>
      </c>
      <c r="C243" s="11" t="s">
        <v>567</v>
      </c>
      <c r="D243" s="10" t="s">
        <v>487</v>
      </c>
      <c r="E243" s="10" t="s">
        <v>566</v>
      </c>
      <c r="F243" s="11">
        <v>2023</v>
      </c>
      <c r="G243" s="11"/>
      <c r="H243" s="26">
        <f>VLOOKUP(B243,'[1]현황(21년)'!$D$5:$E$275,2,0)</f>
        <v>612</v>
      </c>
      <c r="I243" s="26">
        <f>VLOOKUP(B243,'[2]현황(22년)'!$D$5:$E$275,2,0)</f>
        <v>354</v>
      </c>
      <c r="J243" s="26" t="s">
        <v>585</v>
      </c>
      <c r="K243" s="26" t="s">
        <v>585</v>
      </c>
      <c r="L243" s="26" t="s">
        <v>585</v>
      </c>
      <c r="M243" s="26" t="s">
        <v>585</v>
      </c>
    </row>
    <row r="244" spans="1:13" s="1" customFormat="1">
      <c r="A244" s="27"/>
      <c r="B244" s="12" t="s">
        <v>594</v>
      </c>
      <c r="C244" s="11" t="s">
        <v>569</v>
      </c>
      <c r="D244" s="10" t="s">
        <v>508</v>
      </c>
      <c r="E244" s="10">
        <v>2023</v>
      </c>
      <c r="F244" s="11"/>
      <c r="G244" s="11"/>
      <c r="H244" s="26" t="s">
        <v>585</v>
      </c>
      <c r="I244" s="26" t="s">
        <v>585</v>
      </c>
      <c r="J244" s="26">
        <v>80</v>
      </c>
      <c r="K244" s="26">
        <v>245</v>
      </c>
      <c r="L244" s="26">
        <f>VLOOKUP(B244,'[5]현황(25년)'!$C$5:$D$233,2,0)</f>
        <v>228</v>
      </c>
      <c r="M244" s="26">
        <f>VLOOKUP(B244,'[6]현황(26년)'!$C$5:$D$228,2,0)</f>
        <v>295</v>
      </c>
    </row>
    <row r="245" spans="1:13" s="1" customFormat="1">
      <c r="A245" s="27"/>
      <c r="B245" s="11" t="s">
        <v>416</v>
      </c>
      <c r="C245" s="11" t="s">
        <v>417</v>
      </c>
      <c r="D245" s="10" t="s">
        <v>501</v>
      </c>
      <c r="E245" s="10">
        <v>2013</v>
      </c>
      <c r="F245" s="11"/>
      <c r="G245" s="11">
        <v>12</v>
      </c>
      <c r="H245" s="26">
        <f>VLOOKUP(B245,'[1]현황(21년)'!$D$5:$E$275,2,0)</f>
        <v>1491</v>
      </c>
      <c r="I245" s="26">
        <f>VLOOKUP(B245,'[2]현황(22년)'!$D$5:$E$275,2,0)</f>
        <v>1508</v>
      </c>
      <c r="J245" s="26">
        <f>VLOOKUP(B245,'[3]현황(23년)'!$C$5:$D$264,2,0)</f>
        <v>1427</v>
      </c>
      <c r="K245" s="26">
        <f>VLOOKUP(B245,'[4]현황(24년)'!$C$5:$D$245,2,0)</f>
        <v>1147</v>
      </c>
      <c r="L245" s="26">
        <f>VLOOKUP(B245,'[5]현황(25년)'!$C$5:$D$233,2,0)</f>
        <v>919</v>
      </c>
      <c r="M245" s="26">
        <f>VLOOKUP(B245,'[6]현황(26년)'!$C$5:$D$228,2,0)</f>
        <v>482</v>
      </c>
    </row>
    <row r="246" spans="1:13" s="1" customFormat="1">
      <c r="A246" s="27" t="s">
        <v>418</v>
      </c>
      <c r="B246" s="11" t="s">
        <v>419</v>
      </c>
      <c r="C246" s="11" t="s">
        <v>420</v>
      </c>
      <c r="D246" s="10" t="s">
        <v>501</v>
      </c>
      <c r="E246" s="10">
        <v>2019</v>
      </c>
      <c r="F246" s="11"/>
      <c r="G246" s="11">
        <v>12</v>
      </c>
      <c r="H246" s="26">
        <f>VLOOKUP(B246,'[1]현황(21년)'!$D$5:$E$275,2,0)</f>
        <v>845</v>
      </c>
      <c r="I246" s="26">
        <f>VLOOKUP(B246,'[2]현황(22년)'!$D$5:$E$275,2,0)</f>
        <v>937</v>
      </c>
      <c r="J246" s="26">
        <f>VLOOKUP(B246,'[3]현황(23년)'!$C$5:$D$264,2,0)</f>
        <v>942</v>
      </c>
      <c r="K246" s="26">
        <f>VLOOKUP(B246,'[4]현황(24년)'!$C$5:$D$245,2,0)</f>
        <v>991</v>
      </c>
      <c r="L246" s="26">
        <f>VLOOKUP(B246,'[5]현황(25년)'!$C$5:$D$233,2,0)</f>
        <v>1233</v>
      </c>
      <c r="M246" s="26">
        <f>VLOOKUP(B246,'[6]현황(26년)'!$C$5:$D$228,2,0)</f>
        <v>458</v>
      </c>
    </row>
    <row r="247" spans="1:13" s="1" customFormat="1">
      <c r="A247" s="27"/>
      <c r="B247" s="11" t="s">
        <v>421</v>
      </c>
      <c r="C247" s="11" t="s">
        <v>422</v>
      </c>
      <c r="D247" s="10" t="s">
        <v>501</v>
      </c>
      <c r="E247" s="10">
        <v>2017</v>
      </c>
      <c r="F247" s="11"/>
      <c r="G247" s="11">
        <v>19</v>
      </c>
      <c r="H247" s="26">
        <f>VLOOKUP(B247,'[1]현황(21년)'!$D$5:$E$275,2,0)</f>
        <v>3268</v>
      </c>
      <c r="I247" s="26">
        <f>VLOOKUP(B247,'[2]현황(22년)'!$D$5:$E$275,2,0)</f>
        <v>3252</v>
      </c>
      <c r="J247" s="26">
        <f>VLOOKUP(B247,'[3]현황(23년)'!$C$5:$D$264,2,0)</f>
        <v>2593</v>
      </c>
      <c r="K247" s="26">
        <f>VLOOKUP(B247,'[4]현황(24년)'!$C$5:$D$245,2,0)</f>
        <v>3812</v>
      </c>
      <c r="L247" s="26">
        <f>VLOOKUP(B247,'[5]현황(25년)'!$C$5:$D$233,2,0)</f>
        <v>3368</v>
      </c>
      <c r="M247" s="26">
        <f>VLOOKUP(B247,'[6]현황(26년)'!$C$5:$D$228,2,0)</f>
        <v>1736</v>
      </c>
    </row>
    <row r="248" spans="1:13" s="1" customFormat="1">
      <c r="A248" s="27"/>
      <c r="B248" s="11" t="s">
        <v>423</v>
      </c>
      <c r="C248" s="11" t="s">
        <v>424</v>
      </c>
      <c r="D248" s="10" t="s">
        <v>501</v>
      </c>
      <c r="E248" s="10">
        <v>2017</v>
      </c>
      <c r="F248" s="11"/>
      <c r="G248" s="11">
        <v>19</v>
      </c>
      <c r="H248" s="26">
        <f>VLOOKUP(B248,'[1]현황(21년)'!$D$5:$E$275,2,0)</f>
        <v>3690</v>
      </c>
      <c r="I248" s="26">
        <f>VLOOKUP(B248,'[2]현황(22년)'!$D$5:$E$275,2,0)</f>
        <v>3896</v>
      </c>
      <c r="J248" s="26">
        <f>VLOOKUP(B248,'[3]현황(23년)'!$C$5:$D$264,2,0)</f>
        <v>3516</v>
      </c>
      <c r="K248" s="26">
        <f>VLOOKUP(B248,'[4]현황(24년)'!$C$5:$D$245,2,0)</f>
        <v>1837</v>
      </c>
      <c r="L248" s="26">
        <f>VLOOKUP(B248,'[5]현황(25년)'!$C$5:$D$233,2,0)</f>
        <v>1370</v>
      </c>
      <c r="M248" s="26">
        <f>VLOOKUP(B248,'[6]현황(26년)'!$C$5:$D$228,2,0)</f>
        <v>448</v>
      </c>
    </row>
    <row r="249" spans="1:13" s="1" customFormat="1">
      <c r="A249" s="27"/>
      <c r="B249" s="11" t="s">
        <v>425</v>
      </c>
      <c r="C249" s="11" t="s">
        <v>426</v>
      </c>
      <c r="D249" s="10" t="s">
        <v>501</v>
      </c>
      <c r="E249" s="10">
        <v>2015</v>
      </c>
      <c r="F249" s="11"/>
      <c r="G249" s="11">
        <v>19</v>
      </c>
      <c r="H249" s="26">
        <f>VLOOKUP(B249,'[1]현황(21년)'!$D$5:$E$275,2,0)</f>
        <v>2773</v>
      </c>
      <c r="I249" s="26">
        <f>VLOOKUP(B249,'[2]현황(22년)'!$D$5:$E$275,2,0)</f>
        <v>2917</v>
      </c>
      <c r="J249" s="26">
        <f>VLOOKUP(B249,'[3]현황(23년)'!$C$5:$D$264,2,0)</f>
        <v>2550</v>
      </c>
      <c r="K249" s="26">
        <f>VLOOKUP(B249,'[4]현황(24년)'!$C$5:$D$245,2,0)</f>
        <v>2491</v>
      </c>
      <c r="L249" s="26">
        <f>VLOOKUP(B249,'[5]현황(25년)'!$C$5:$D$233,2,0)</f>
        <v>3186</v>
      </c>
      <c r="M249" s="26">
        <f>VLOOKUP(B249,'[6]현황(26년)'!$C$5:$D$228,2,0)</f>
        <v>1412</v>
      </c>
    </row>
    <row r="250" spans="1:13" s="1" customFormat="1">
      <c r="A250" s="27"/>
      <c r="B250" s="11" t="s">
        <v>427</v>
      </c>
      <c r="C250" s="11" t="s">
        <v>428</v>
      </c>
      <c r="D250" s="10" t="s">
        <v>501</v>
      </c>
      <c r="E250" s="10">
        <v>2014</v>
      </c>
      <c r="F250" s="11"/>
      <c r="G250" s="11">
        <v>47</v>
      </c>
      <c r="H250" s="26">
        <f>VLOOKUP(B250,'[1]현황(21년)'!$D$5:$E$275,2,0)</f>
        <v>11106</v>
      </c>
      <c r="I250" s="26">
        <f>VLOOKUP(B250,'[2]현황(22년)'!$D$5:$E$275,2,0)</f>
        <v>11479</v>
      </c>
      <c r="J250" s="26">
        <f>VLOOKUP(B250,'[3]현황(23년)'!$C$5:$D$264,2,0)</f>
        <v>10670</v>
      </c>
      <c r="K250" s="26">
        <f>VLOOKUP(B250,'[4]현황(24년)'!$C$5:$D$245,2,0)</f>
        <v>8567</v>
      </c>
      <c r="L250" s="26">
        <f>VLOOKUP(B250,'[5]현황(25년)'!$C$5:$D$233,2,0)</f>
        <v>11052</v>
      </c>
      <c r="M250" s="26">
        <f>VLOOKUP(B250,'[6]현황(26년)'!$C$5:$D$228,2,0)</f>
        <v>5481</v>
      </c>
    </row>
    <row r="251" spans="1:13" s="1" customFormat="1">
      <c r="A251" s="27"/>
      <c r="B251" s="11" t="s">
        <v>429</v>
      </c>
      <c r="C251" s="11" t="s">
        <v>430</v>
      </c>
      <c r="D251" s="10" t="s">
        <v>501</v>
      </c>
      <c r="E251" s="10">
        <v>2013</v>
      </c>
      <c r="F251" s="11"/>
      <c r="G251" s="11">
        <v>26</v>
      </c>
      <c r="H251" s="26">
        <f>VLOOKUP(B251,'[1]현황(21년)'!$D$5:$E$275,2,0)</f>
        <v>4931</v>
      </c>
      <c r="I251" s="26">
        <f>VLOOKUP(B251,'[2]현황(22년)'!$D$5:$E$275,2,0)</f>
        <v>5077</v>
      </c>
      <c r="J251" s="26">
        <f>VLOOKUP(B251,'[3]현황(23년)'!$C$5:$D$264,2,0)</f>
        <v>5163</v>
      </c>
      <c r="K251" s="26">
        <f>VLOOKUP(B251,'[4]현황(24년)'!$C$5:$D$245,2,0)</f>
        <v>4867</v>
      </c>
      <c r="L251" s="26">
        <f>VLOOKUP(B251,'[5]현황(25년)'!$C$5:$D$233,2,0)</f>
        <v>4713</v>
      </c>
      <c r="M251" s="26">
        <f>VLOOKUP(B251,'[6]현황(26년)'!$C$5:$D$228,2,0)</f>
        <v>1874</v>
      </c>
    </row>
    <row r="252" spans="1:13" s="1" customFormat="1">
      <c r="A252" s="27"/>
      <c r="B252" s="11" t="s">
        <v>431</v>
      </c>
      <c r="C252" s="11" t="s">
        <v>432</v>
      </c>
      <c r="D252" s="10" t="s">
        <v>487</v>
      </c>
      <c r="E252" s="10">
        <v>2018</v>
      </c>
      <c r="F252" s="11">
        <v>2023</v>
      </c>
      <c r="G252" s="11">
        <v>19</v>
      </c>
      <c r="H252" s="26">
        <f>VLOOKUP(B252,'[1]현황(21년)'!$D$5:$E$275,2,0)</f>
        <v>1910</v>
      </c>
      <c r="I252" s="26">
        <f>VLOOKUP(B252,'[2]현황(22년)'!$D$5:$E$275,2,0)</f>
        <v>1848</v>
      </c>
      <c r="J252" s="26" t="s">
        <v>585</v>
      </c>
      <c r="K252" s="26" t="s">
        <v>585</v>
      </c>
      <c r="L252" s="26" t="s">
        <v>585</v>
      </c>
      <c r="M252" s="26" t="s">
        <v>585</v>
      </c>
    </row>
    <row r="253" spans="1:13" s="1" customFormat="1">
      <c r="A253" s="27"/>
      <c r="B253" s="11" t="s">
        <v>433</v>
      </c>
      <c r="C253" s="11" t="s">
        <v>434</v>
      </c>
      <c r="D253" s="10" t="s">
        <v>501</v>
      </c>
      <c r="E253" s="10">
        <v>2020</v>
      </c>
      <c r="F253" s="11"/>
      <c r="G253" s="11">
        <v>19</v>
      </c>
      <c r="H253" s="26">
        <f>VLOOKUP(B253,'[1]현황(21년)'!$D$5:$E$275,2,0)</f>
        <v>598</v>
      </c>
      <c r="I253" s="26">
        <f>VLOOKUP(B253,'[2]현황(22년)'!$D$5:$E$275,2,0)</f>
        <v>1172</v>
      </c>
      <c r="J253" s="26">
        <f>VLOOKUP(B253,'[3]현황(23년)'!$C$5:$D$264,2,0)</f>
        <v>1516</v>
      </c>
      <c r="K253" s="26">
        <f>VLOOKUP(B253,'[4]현황(24년)'!$C$5:$D$245,2,0)</f>
        <v>3016</v>
      </c>
      <c r="L253" s="26">
        <f>VLOOKUP(B253,'[5]현황(25년)'!$C$5:$D$233,2,0)</f>
        <v>2480</v>
      </c>
      <c r="M253" s="26">
        <f>VLOOKUP(B253,'[6]현황(26년)'!$C$5:$D$228,2,0)</f>
        <v>1633</v>
      </c>
    </row>
    <row r="254" spans="1:13" s="1" customFormat="1">
      <c r="A254" s="27"/>
      <c r="B254" s="11" t="s">
        <v>595</v>
      </c>
      <c r="C254" s="11" t="s">
        <v>564</v>
      </c>
      <c r="D254" s="10" t="s">
        <v>486</v>
      </c>
      <c r="E254" s="10">
        <v>2019</v>
      </c>
      <c r="F254" s="11">
        <v>2025</v>
      </c>
      <c r="G254" s="11">
        <v>12</v>
      </c>
      <c r="H254" s="26" t="s">
        <v>585</v>
      </c>
      <c r="I254" s="26" t="s">
        <v>585</v>
      </c>
      <c r="J254" s="26" t="s">
        <v>585</v>
      </c>
      <c r="K254" s="26">
        <v>754</v>
      </c>
      <c r="L254" s="26" t="s">
        <v>585</v>
      </c>
      <c r="M254" s="26" t="s">
        <v>585</v>
      </c>
    </row>
    <row r="255" spans="1:13" s="1" customFormat="1">
      <c r="A255" s="27" t="s">
        <v>435</v>
      </c>
      <c r="B255" s="11" t="s">
        <v>524</v>
      </c>
      <c r="C255" s="11" t="s">
        <v>436</v>
      </c>
      <c r="D255" s="10" t="s">
        <v>508</v>
      </c>
      <c r="E255" s="10" t="s">
        <v>566</v>
      </c>
      <c r="F255" s="11"/>
      <c r="G255" s="11">
        <v>12</v>
      </c>
      <c r="H255" s="26">
        <f>VLOOKUP(B255,'[1]현황(21년)'!$D$5:$E$275,2,0)</f>
        <v>335</v>
      </c>
      <c r="I255" s="26">
        <f>VLOOKUP(B255,'[2]현황(22년)'!$D$5:$E$275,2,0)</f>
        <v>635</v>
      </c>
      <c r="J255" s="26">
        <f>VLOOKUP(B255,'[3]현황(23년)'!$C$5:$D$264,2,0)</f>
        <v>750</v>
      </c>
      <c r="K255" s="26">
        <f>VLOOKUP(B255,'[4]현황(24년)'!$C$5:$D$245,2,0)</f>
        <v>1008</v>
      </c>
      <c r="L255" s="26">
        <f>VLOOKUP(B255,'[5]현황(25년)'!$C$5:$D$233,2,0)</f>
        <v>810</v>
      </c>
      <c r="M255" s="26">
        <f>VLOOKUP(B255,'[6]현황(26년)'!$C$5:$D$228,2,0)</f>
        <v>646</v>
      </c>
    </row>
    <row r="256" spans="1:13" s="1" customFormat="1">
      <c r="A256" s="27"/>
      <c r="B256" s="11" t="s">
        <v>437</v>
      </c>
      <c r="C256" s="11" t="s">
        <v>438</v>
      </c>
      <c r="D256" s="10" t="s">
        <v>501</v>
      </c>
      <c r="E256" s="10">
        <v>2021</v>
      </c>
      <c r="F256" s="11"/>
      <c r="G256" s="11">
        <v>12</v>
      </c>
      <c r="H256" s="26">
        <f>VLOOKUP(B256,'[1]현황(21년)'!$D$5:$E$275,2,0)</f>
        <v>52</v>
      </c>
      <c r="I256" s="26">
        <f>VLOOKUP(B256,'[2]현황(22년)'!$D$5:$E$275,2,0)</f>
        <v>408</v>
      </c>
      <c r="J256" s="26">
        <f>VLOOKUP(B256,'[3]현황(23년)'!$C$5:$D$264,2,0)</f>
        <v>1664</v>
      </c>
      <c r="K256" s="26">
        <f>VLOOKUP(B256,'[4]현황(24년)'!$C$5:$D$245,2,0)</f>
        <v>1774</v>
      </c>
      <c r="L256" s="26">
        <f>VLOOKUP(B256,'[5]현황(25년)'!$C$5:$D$233,2,0)</f>
        <v>886</v>
      </c>
      <c r="M256" s="26">
        <f>VLOOKUP(B256,'[6]현황(26년)'!$C$5:$D$228,2,0)</f>
        <v>130</v>
      </c>
    </row>
    <row r="257" spans="1:13" s="1" customFormat="1">
      <c r="A257" s="27"/>
      <c r="B257" s="11" t="s">
        <v>439</v>
      </c>
      <c r="C257" s="11" t="s">
        <v>440</v>
      </c>
      <c r="D257" s="10" t="s">
        <v>486</v>
      </c>
      <c r="E257" s="10">
        <v>2017</v>
      </c>
      <c r="F257" s="11">
        <v>2025</v>
      </c>
      <c r="G257" s="11">
        <v>19</v>
      </c>
      <c r="H257" s="26">
        <f>VLOOKUP(B257,'[1]현황(21년)'!$D$5:$E$275,2,0)</f>
        <v>2330</v>
      </c>
      <c r="I257" s="26">
        <f>VLOOKUP(B257,'[2]현황(22년)'!$D$5:$E$275,2,0)</f>
        <v>1895</v>
      </c>
      <c r="J257" s="26">
        <f>VLOOKUP(B257,'[3]현황(23년)'!$C$5:$D$264,2,0)</f>
        <v>1711</v>
      </c>
      <c r="K257" s="26">
        <f>VLOOKUP(B257,'[4]현황(24년)'!$C$5:$D$245,2,0)</f>
        <v>1751</v>
      </c>
      <c r="L257" s="26" t="s">
        <v>585</v>
      </c>
      <c r="M257" s="26" t="s">
        <v>585</v>
      </c>
    </row>
    <row r="258" spans="1:13" s="1" customFormat="1">
      <c r="A258" s="27"/>
      <c r="B258" s="11" t="s">
        <v>441</v>
      </c>
      <c r="C258" s="11" t="s">
        <v>442</v>
      </c>
      <c r="D258" s="10" t="s">
        <v>501</v>
      </c>
      <c r="E258" s="10">
        <v>2016</v>
      </c>
      <c r="F258" s="11"/>
      <c r="G258" s="11">
        <v>19</v>
      </c>
      <c r="H258" s="26">
        <f>VLOOKUP(B258,'[1]현황(21년)'!$D$5:$E$275,2,0)</f>
        <v>2631</v>
      </c>
      <c r="I258" s="26">
        <f>VLOOKUP(B258,'[2]현황(22년)'!$D$5:$E$275,2,0)</f>
        <v>2310</v>
      </c>
      <c r="J258" s="26">
        <f>VLOOKUP(B258,'[3]현황(23년)'!$C$5:$D$264,2,0)</f>
        <v>2112</v>
      </c>
      <c r="K258" s="26">
        <f>VLOOKUP(B258,'[4]현황(24년)'!$C$5:$D$245,2,0)</f>
        <v>2781</v>
      </c>
      <c r="L258" s="26">
        <f>VLOOKUP(B258,'[5]현황(25년)'!$C$5:$D$233,2,0)</f>
        <v>3420</v>
      </c>
      <c r="M258" s="26">
        <f>VLOOKUP(B258,'[6]현황(26년)'!$C$5:$D$228,2,0)</f>
        <v>1570</v>
      </c>
    </row>
    <row r="259" spans="1:13" s="1" customFormat="1">
      <c r="A259" s="27"/>
      <c r="B259" s="11" t="s">
        <v>443</v>
      </c>
      <c r="C259" s="11" t="s">
        <v>444</v>
      </c>
      <c r="D259" s="10" t="s">
        <v>501</v>
      </c>
      <c r="E259" s="10">
        <v>2021</v>
      </c>
      <c r="F259" s="11"/>
      <c r="G259" s="11">
        <v>19</v>
      </c>
      <c r="H259" s="26">
        <f>VLOOKUP(B259,'[1]현황(21년)'!$D$5:$E$275,2,0)</f>
        <v>1719</v>
      </c>
      <c r="I259" s="26">
        <f>VLOOKUP(B259,'[2]현황(22년)'!$D$5:$E$275,2,0)</f>
        <v>1745</v>
      </c>
      <c r="J259" s="26">
        <f>VLOOKUP(B259,'[3]현황(23년)'!$C$5:$D$264,2,0)</f>
        <v>2480</v>
      </c>
      <c r="K259" s="26">
        <f>VLOOKUP(B259,'[4]현황(24년)'!$C$5:$D$245,2,0)</f>
        <v>4445</v>
      </c>
      <c r="L259" s="26">
        <f>VLOOKUP(B259,'[5]현황(25년)'!$C$5:$D$233,2,0)</f>
        <v>3180</v>
      </c>
      <c r="M259" s="26">
        <f>VLOOKUP(B259,'[6]현황(26년)'!$C$5:$D$228,2,0)</f>
        <v>1301</v>
      </c>
    </row>
    <row r="260" spans="1:13" s="1" customFormat="1">
      <c r="A260" s="27"/>
      <c r="B260" s="11" t="s">
        <v>445</v>
      </c>
      <c r="C260" s="11" t="s">
        <v>446</v>
      </c>
      <c r="D260" s="10" t="s">
        <v>501</v>
      </c>
      <c r="E260" s="10">
        <v>2015</v>
      </c>
      <c r="F260" s="11"/>
      <c r="G260" s="11">
        <v>19</v>
      </c>
      <c r="H260" s="26">
        <f>VLOOKUP(B260,'[1]현황(21년)'!$D$5:$E$275,2,0)</f>
        <v>2639</v>
      </c>
      <c r="I260" s="26">
        <f>VLOOKUP(B260,'[2]현황(22년)'!$D$5:$E$275,2,0)</f>
        <v>2891</v>
      </c>
      <c r="J260" s="26">
        <f>VLOOKUP(B260,'[3]현황(23년)'!$C$5:$D$264,2,0)</f>
        <v>3411</v>
      </c>
      <c r="K260" s="26">
        <f>VLOOKUP(B260,'[4]현황(24년)'!$C$5:$D$245,2,0)</f>
        <v>4497</v>
      </c>
      <c r="L260" s="26">
        <f>VLOOKUP(B260,'[5]현황(25년)'!$C$5:$D$233,2,0)</f>
        <v>4161</v>
      </c>
      <c r="M260" s="26">
        <f>VLOOKUP(B260,'[6]현황(26년)'!$C$5:$D$228,2,0)</f>
        <v>2283</v>
      </c>
    </row>
    <row r="261" spans="1:13" s="1" customFormat="1">
      <c r="A261" s="27"/>
      <c r="B261" s="11" t="s">
        <v>447</v>
      </c>
      <c r="C261" s="11" t="s">
        <v>448</v>
      </c>
      <c r="D261" s="10" t="s">
        <v>501</v>
      </c>
      <c r="E261" s="10">
        <v>2014</v>
      </c>
      <c r="F261" s="11"/>
      <c r="G261" s="11">
        <v>19</v>
      </c>
      <c r="H261" s="26">
        <f>VLOOKUP(B261,'[1]현황(21년)'!$D$5:$E$275,2,0)</f>
        <v>3416</v>
      </c>
      <c r="I261" s="26">
        <f>VLOOKUP(B261,'[2]현황(22년)'!$D$5:$E$275,2,0)</f>
        <v>2323</v>
      </c>
      <c r="J261" s="26">
        <f>VLOOKUP(B261,'[3]현황(23년)'!$C$5:$D$264,2,0)</f>
        <v>2150</v>
      </c>
      <c r="K261" s="26">
        <f>VLOOKUP(B261,'[4]현황(24년)'!$C$5:$D$245,2,0)</f>
        <v>2217</v>
      </c>
      <c r="L261" s="26">
        <f>VLOOKUP(B261,'[5]현황(25년)'!$C$5:$D$233,2,0)</f>
        <v>3140</v>
      </c>
      <c r="M261" s="26">
        <f>VLOOKUP(B261,'[6]현황(26년)'!$C$5:$D$228,2,0)</f>
        <v>1271</v>
      </c>
    </row>
    <row r="262" spans="1:13" s="1" customFormat="1">
      <c r="A262" s="27"/>
      <c r="B262" s="11" t="s">
        <v>449</v>
      </c>
      <c r="C262" s="11" t="s">
        <v>450</v>
      </c>
      <c r="D262" s="10" t="s">
        <v>501</v>
      </c>
      <c r="E262" s="10">
        <v>2014</v>
      </c>
      <c r="F262" s="11"/>
      <c r="G262" s="11">
        <v>19</v>
      </c>
      <c r="H262" s="26">
        <f>VLOOKUP(B262,'[1]현황(21년)'!$D$5:$E$275,2,0)</f>
        <v>3367</v>
      </c>
      <c r="I262" s="26">
        <f>VLOOKUP(B262,'[2]현황(22년)'!$D$5:$E$275,2,0)</f>
        <v>3027</v>
      </c>
      <c r="J262" s="26">
        <f>VLOOKUP(B262,'[3]현황(23년)'!$C$5:$D$264,2,0)</f>
        <v>3683</v>
      </c>
      <c r="K262" s="26">
        <f>VLOOKUP(B262,'[4]현황(24년)'!$C$5:$D$245,2,0)</f>
        <v>3115</v>
      </c>
      <c r="L262" s="26">
        <f>VLOOKUP(B262,'[5]현황(25년)'!$C$5:$D$233,2,0)</f>
        <v>3272</v>
      </c>
      <c r="M262" s="26">
        <f>VLOOKUP(B262,'[6]현황(26년)'!$C$5:$D$228,2,0)</f>
        <v>1175</v>
      </c>
    </row>
    <row r="263" spans="1:13" s="1" customFormat="1">
      <c r="A263" s="27"/>
      <c r="B263" s="11" t="s">
        <v>451</v>
      </c>
      <c r="C263" s="11" t="s">
        <v>452</v>
      </c>
      <c r="D263" s="10" t="s">
        <v>501</v>
      </c>
      <c r="E263" s="10">
        <v>2013</v>
      </c>
      <c r="F263" s="11"/>
      <c r="G263" s="11">
        <v>33</v>
      </c>
      <c r="H263" s="26">
        <f>VLOOKUP(B263,'[1]현황(21년)'!$D$5:$E$275,2,0)</f>
        <v>7549</v>
      </c>
      <c r="I263" s="26">
        <f>VLOOKUP(B263,'[2]현황(22년)'!$D$5:$E$275,2,0)</f>
        <v>7524</v>
      </c>
      <c r="J263" s="26">
        <f>VLOOKUP(B263,'[3]현황(23년)'!$C$5:$D$264,2,0)</f>
        <v>7131</v>
      </c>
      <c r="K263" s="26">
        <f>VLOOKUP(B263,'[4]현황(24년)'!$C$5:$D$245,2,0)</f>
        <v>7584</v>
      </c>
      <c r="L263" s="26">
        <f>VLOOKUP(B263,'[5]현황(25년)'!$C$5:$D$233,2,0)</f>
        <v>7040</v>
      </c>
      <c r="M263" s="26">
        <f>VLOOKUP(B263,'[6]현황(26년)'!$C$5:$D$228,2,0)</f>
        <v>3120</v>
      </c>
    </row>
    <row r="264" spans="1:13" s="1" customFormat="1">
      <c r="A264" s="27"/>
      <c r="B264" s="11" t="s">
        <v>453</v>
      </c>
      <c r="C264" s="11" t="s">
        <v>454</v>
      </c>
      <c r="D264" s="10" t="s">
        <v>501</v>
      </c>
      <c r="E264" s="10">
        <v>2013</v>
      </c>
      <c r="F264" s="11"/>
      <c r="G264" s="11">
        <v>19</v>
      </c>
      <c r="H264" s="26">
        <f>VLOOKUP(B264,'[1]현황(21년)'!$D$5:$E$275,2,0)</f>
        <v>1080</v>
      </c>
      <c r="I264" s="26">
        <f>VLOOKUP(B264,'[2]현황(22년)'!$D$5:$E$275,2,0)</f>
        <v>1010</v>
      </c>
      <c r="J264" s="26">
        <f>VLOOKUP(B264,'[3]현황(23년)'!$C$5:$D$264,2,0)</f>
        <v>1383</v>
      </c>
      <c r="K264" s="26">
        <f>VLOOKUP(B264,'[4]현황(24년)'!$C$5:$D$245,2,0)</f>
        <v>1418</v>
      </c>
      <c r="L264" s="26">
        <f>VLOOKUP(B264,'[5]현황(25년)'!$C$5:$D$233,2,0)</f>
        <v>1192</v>
      </c>
      <c r="M264" s="26">
        <f>VLOOKUP(B264,'[6]현황(26년)'!$C$5:$D$228,2,0)</f>
        <v>725</v>
      </c>
    </row>
    <row r="265" spans="1:13" s="1" customFormat="1">
      <c r="A265" s="27"/>
      <c r="B265" s="11" t="s">
        <v>455</v>
      </c>
      <c r="C265" s="11" t="s">
        <v>456</v>
      </c>
      <c r="D265" s="10" t="s">
        <v>501</v>
      </c>
      <c r="E265" s="10">
        <v>2018</v>
      </c>
      <c r="F265" s="11"/>
      <c r="G265" s="11">
        <v>19</v>
      </c>
      <c r="H265" s="26">
        <f>VLOOKUP(B265,'[1]현황(21년)'!$D$5:$E$275,2,0)</f>
        <v>2937</v>
      </c>
      <c r="I265" s="26">
        <f>VLOOKUP(B265,'[2]현황(22년)'!$D$5:$E$275,2,0)</f>
        <v>3203</v>
      </c>
      <c r="J265" s="26">
        <f>VLOOKUP(B265,'[3]현황(23년)'!$C$5:$D$264,2,0)</f>
        <v>3017</v>
      </c>
      <c r="K265" s="26">
        <f>VLOOKUP(B265,'[4]현황(24년)'!$C$5:$D$245,2,0)</f>
        <v>3483</v>
      </c>
      <c r="L265" s="26">
        <f>VLOOKUP(B265,'[5]현황(25년)'!$C$5:$D$233,2,0)</f>
        <v>2891</v>
      </c>
      <c r="M265" s="26">
        <f>VLOOKUP(B265,'[6]현황(26년)'!$C$5:$D$228,2,0)</f>
        <v>1923</v>
      </c>
    </row>
    <row r="266" spans="1:13" s="1" customFormat="1">
      <c r="A266" s="27" t="s">
        <v>457</v>
      </c>
      <c r="B266" s="14" t="s">
        <v>570</v>
      </c>
      <c r="C266" s="11" t="s">
        <v>458</v>
      </c>
      <c r="D266" s="10" t="s">
        <v>508</v>
      </c>
      <c r="E266" s="10" t="s">
        <v>566</v>
      </c>
      <c r="F266" s="11"/>
      <c r="G266" s="11">
        <v>12</v>
      </c>
      <c r="H266" s="26">
        <v>4445</v>
      </c>
      <c r="I266" s="26">
        <v>2503</v>
      </c>
      <c r="J266" s="26">
        <f>VLOOKUP(B266,'[3]현황(23년)'!$C$5:$D$264,2,0)</f>
        <v>1244</v>
      </c>
      <c r="K266" s="26">
        <f>VLOOKUP(B266,'[4]현황(24년)'!$C$5:$D$245,2,0)</f>
        <v>2859</v>
      </c>
      <c r="L266" s="26">
        <f>VLOOKUP(B266,'[5]현황(25년)'!$C$5:$D$233,2,0)</f>
        <v>2547</v>
      </c>
      <c r="M266" s="26">
        <f>VLOOKUP(B266,'[6]현황(26년)'!$C$5:$D$228,2,0)</f>
        <v>1143</v>
      </c>
    </row>
    <row r="267" spans="1:13" s="1" customFormat="1">
      <c r="A267" s="27"/>
      <c r="B267" s="14" t="s">
        <v>571</v>
      </c>
      <c r="C267" s="11" t="s">
        <v>459</v>
      </c>
      <c r="D267" s="10" t="s">
        <v>508</v>
      </c>
      <c r="E267" s="10">
        <v>2023</v>
      </c>
      <c r="F267" s="11"/>
      <c r="G267" s="11">
        <v>12</v>
      </c>
      <c r="H267" s="26" t="s">
        <v>585</v>
      </c>
      <c r="I267" s="26" t="s">
        <v>585</v>
      </c>
      <c r="J267" s="26">
        <f>VLOOKUP(B267,'[3]현황(23년)'!$C$5:$D$264,2,0)</f>
        <v>132</v>
      </c>
      <c r="K267" s="26">
        <f>VLOOKUP(B267,'[4]현황(24년)'!$C$5:$D$245,2,0)</f>
        <v>321</v>
      </c>
      <c r="L267" s="26">
        <f>VLOOKUP(B267,'[5]현황(25년)'!$C$5:$D$233,2,0)</f>
        <v>349</v>
      </c>
      <c r="M267" s="26">
        <f>VLOOKUP(B267,'[6]현황(26년)'!$C$5:$D$228,2,0)</f>
        <v>216</v>
      </c>
    </row>
    <row r="268" spans="1:13" s="1" customFormat="1">
      <c r="A268" s="27"/>
      <c r="B268" s="11" t="s">
        <v>460</v>
      </c>
      <c r="C268" s="11" t="s">
        <v>461</v>
      </c>
      <c r="D268" s="10" t="s">
        <v>501</v>
      </c>
      <c r="E268" s="10">
        <v>2021</v>
      </c>
      <c r="F268" s="11"/>
      <c r="G268" s="11">
        <v>19</v>
      </c>
      <c r="H268" s="26">
        <f>VLOOKUP(B268,'[1]현황(21년)'!$D$5:$E$275,2,0)</f>
        <v>11</v>
      </c>
      <c r="I268" s="26">
        <f>VLOOKUP(B268,'[2]현황(22년)'!$D$5:$E$275,2,0)</f>
        <v>392</v>
      </c>
      <c r="J268" s="26">
        <f>VLOOKUP(B268,'[3]현황(23년)'!$C$5:$D$264,2,0)</f>
        <v>902</v>
      </c>
      <c r="K268" s="26">
        <f>VLOOKUP(B268,'[4]현황(24년)'!$C$5:$D$245,2,0)</f>
        <v>1051</v>
      </c>
      <c r="L268" s="26">
        <f>VLOOKUP(B268,'[5]현황(25년)'!$C$5:$D$233,2,0)</f>
        <v>1155</v>
      </c>
      <c r="M268" s="26">
        <f>VLOOKUP(B268,'[6]현황(26년)'!$C$5:$D$228,2,0)</f>
        <v>435</v>
      </c>
    </row>
    <row r="269" spans="1:13" s="1" customFormat="1">
      <c r="A269" s="27"/>
      <c r="B269" s="11" t="s">
        <v>488</v>
      </c>
      <c r="C269" s="11" t="s">
        <v>462</v>
      </c>
      <c r="D269" s="10" t="s">
        <v>487</v>
      </c>
      <c r="E269" s="10">
        <v>2016</v>
      </c>
      <c r="F269" s="11">
        <v>2026</v>
      </c>
      <c r="G269" s="11">
        <v>19</v>
      </c>
      <c r="H269" s="26">
        <f>VLOOKUP(B269,'[1]현황(21년)'!$D$5:$E$275,2,0)</f>
        <v>2372</v>
      </c>
      <c r="I269" s="26">
        <f>VLOOKUP(B269,'[2]현황(22년)'!$D$5:$E$275,2,0)</f>
        <v>2273</v>
      </c>
      <c r="J269" s="26">
        <f>VLOOKUP(B269,'[3]현황(23년)'!$C$5:$D$264,2,0)</f>
        <v>2547</v>
      </c>
      <c r="K269" s="26">
        <f>VLOOKUP(B269,'[4]현황(24년)'!$C$5:$D$245,2,0)</f>
        <v>1288</v>
      </c>
      <c r="L269" s="26" t="s">
        <v>597</v>
      </c>
      <c r="M269" s="26" t="s">
        <v>585</v>
      </c>
    </row>
    <row r="270" spans="1:13" s="1" customFormat="1">
      <c r="A270" s="27"/>
      <c r="B270" s="11" t="s">
        <v>525</v>
      </c>
      <c r="C270" s="11" t="s">
        <v>560</v>
      </c>
      <c r="D270" s="10" t="s">
        <v>508</v>
      </c>
      <c r="E270" s="10">
        <v>2026</v>
      </c>
      <c r="F270" s="11"/>
      <c r="G270" s="11">
        <v>19</v>
      </c>
      <c r="H270" s="26" t="s">
        <v>585</v>
      </c>
      <c r="I270" s="26" t="s">
        <v>585</v>
      </c>
      <c r="J270" s="26" t="s">
        <v>585</v>
      </c>
      <c r="K270" s="26" t="s">
        <v>585</v>
      </c>
      <c r="L270" s="26" t="s">
        <v>585</v>
      </c>
      <c r="M270" s="26">
        <f>VLOOKUP(B270,'[6]현황(26년)'!$C$5:$D$228,2,0)</f>
        <v>4</v>
      </c>
    </row>
    <row r="271" spans="1:13" s="1" customFormat="1">
      <c r="A271" s="27"/>
      <c r="B271" s="11" t="s">
        <v>463</v>
      </c>
      <c r="C271" s="11" t="s">
        <v>464</v>
      </c>
      <c r="D271" s="10" t="s">
        <v>501</v>
      </c>
      <c r="E271" s="10">
        <v>2015</v>
      </c>
      <c r="F271" s="11"/>
      <c r="G271" s="11">
        <v>12</v>
      </c>
      <c r="H271" s="26">
        <f>VLOOKUP(B271,'[1]현황(21년)'!$D$5:$E$275,2,0)</f>
        <v>895</v>
      </c>
      <c r="I271" s="26">
        <f>VLOOKUP(B271,'[2]현황(22년)'!$D$5:$E$275,2,0)</f>
        <v>2018</v>
      </c>
      <c r="J271" s="26">
        <f>VLOOKUP(B271,'[3]현황(23년)'!$C$5:$D$264,2,0)</f>
        <v>1547</v>
      </c>
      <c r="K271" s="26">
        <f>VLOOKUP(B271,'[4]현황(24년)'!$C$5:$D$245,2,0)</f>
        <v>2038</v>
      </c>
      <c r="L271" s="26">
        <f>VLOOKUP(B271,'[5]현황(25년)'!$C$5:$D$233,2,0)</f>
        <v>2002</v>
      </c>
      <c r="M271" s="26">
        <f>VLOOKUP(B271,'[6]현황(26년)'!$C$5:$D$228,2,0)</f>
        <v>626</v>
      </c>
    </row>
    <row r="272" spans="1:13" s="1" customFormat="1">
      <c r="A272" s="27"/>
      <c r="B272" s="11" t="s">
        <v>465</v>
      </c>
      <c r="C272" s="11" t="s">
        <v>466</v>
      </c>
      <c r="D272" s="10" t="s">
        <v>501</v>
      </c>
      <c r="E272" s="10">
        <v>2014</v>
      </c>
      <c r="F272" s="11"/>
      <c r="G272" s="11">
        <v>19</v>
      </c>
      <c r="H272" s="26">
        <f>VLOOKUP(B272,'[1]현황(21년)'!$D$5:$E$275,2,0)</f>
        <v>3638</v>
      </c>
      <c r="I272" s="26">
        <f>VLOOKUP(B272,'[2]현황(22년)'!$D$5:$E$275,2,0)</f>
        <v>3823</v>
      </c>
      <c r="J272" s="26">
        <f>VLOOKUP(B272,'[3]현황(23년)'!$C$5:$D$264,2,0)</f>
        <v>3153</v>
      </c>
      <c r="K272" s="26">
        <f>VLOOKUP(B272,'[4]현황(24년)'!$C$5:$D$245,2,0)</f>
        <v>3510</v>
      </c>
      <c r="L272" s="26">
        <f>VLOOKUP(B272,'[5]현황(25년)'!$C$5:$D$233,2,0)</f>
        <v>3687</v>
      </c>
      <c r="M272" s="26">
        <f>VLOOKUP(B272,'[6]현황(26년)'!$C$5:$D$228,2,0)</f>
        <v>1821</v>
      </c>
    </row>
    <row r="273" spans="1:13" s="1" customFormat="1">
      <c r="A273" s="27"/>
      <c r="B273" s="11" t="s">
        <v>467</v>
      </c>
      <c r="C273" s="11" t="s">
        <v>468</v>
      </c>
      <c r="D273" s="10" t="s">
        <v>501</v>
      </c>
      <c r="E273" s="10">
        <v>2014</v>
      </c>
      <c r="F273" s="11"/>
      <c r="G273" s="11">
        <v>19</v>
      </c>
      <c r="H273" s="26">
        <f>VLOOKUP(B273,'[1]현황(21년)'!$D$5:$E$275,2,0)</f>
        <v>3583</v>
      </c>
      <c r="I273" s="26">
        <f>VLOOKUP(B273,'[2]현황(22년)'!$D$5:$E$275,2,0)</f>
        <v>3226</v>
      </c>
      <c r="J273" s="26">
        <f>VLOOKUP(B273,'[3]현황(23년)'!$C$5:$D$264,2,0)</f>
        <v>2637</v>
      </c>
      <c r="K273" s="26">
        <f>VLOOKUP(B273,'[4]현황(24년)'!$C$5:$D$245,2,0)</f>
        <v>4046</v>
      </c>
      <c r="L273" s="26">
        <f>VLOOKUP(B273,'[5]현황(25년)'!$C$5:$D$233,2,0)</f>
        <v>2815</v>
      </c>
      <c r="M273" s="26">
        <f>VLOOKUP(B273,'[6]현황(26년)'!$C$5:$D$228,2,0)</f>
        <v>1031</v>
      </c>
    </row>
    <row r="274" spans="1:13" s="1" customFormat="1">
      <c r="A274" s="27"/>
      <c r="B274" s="11" t="s">
        <v>469</v>
      </c>
      <c r="C274" s="11" t="s">
        <v>470</v>
      </c>
      <c r="D274" s="10" t="s">
        <v>501</v>
      </c>
      <c r="E274" s="10">
        <v>2014</v>
      </c>
      <c r="F274" s="11"/>
      <c r="G274" s="11">
        <v>19</v>
      </c>
      <c r="H274" s="26">
        <f>VLOOKUP(B274,'[1]현황(21년)'!$D$5:$E$275,2,0)</f>
        <v>4293</v>
      </c>
      <c r="I274" s="26">
        <f>VLOOKUP(B274,'[2]현황(22년)'!$D$5:$E$275,2,0)</f>
        <v>4495</v>
      </c>
      <c r="J274" s="26">
        <f>VLOOKUP(B274,'[3]현황(23년)'!$C$5:$D$264,2,0)</f>
        <v>4663</v>
      </c>
      <c r="K274" s="26">
        <f>VLOOKUP(B274,'[4]현황(24년)'!$C$5:$D$245,2,0)</f>
        <v>4184</v>
      </c>
      <c r="L274" s="26">
        <f>VLOOKUP(B274,'[5]현황(25년)'!$C$5:$D$233,2,0)</f>
        <v>3668</v>
      </c>
      <c r="M274" s="26">
        <f>VLOOKUP(B274,'[6]현황(26년)'!$C$5:$D$228,2,0)</f>
        <v>1809</v>
      </c>
    </row>
    <row r="275" spans="1:13" s="1" customFormat="1">
      <c r="A275" s="27"/>
      <c r="B275" s="11" t="s">
        <v>471</v>
      </c>
      <c r="C275" s="11" t="s">
        <v>472</v>
      </c>
      <c r="D275" s="10" t="s">
        <v>508</v>
      </c>
      <c r="E275" s="10">
        <v>2013</v>
      </c>
      <c r="F275" s="11"/>
      <c r="G275" s="11">
        <v>19</v>
      </c>
      <c r="H275" s="26">
        <f>VLOOKUP(B275,'[1]현황(21년)'!$D$5:$E$275,2,0)</f>
        <v>3563</v>
      </c>
      <c r="I275" s="26">
        <f>VLOOKUP(B275,'[2]현황(22년)'!$D$5:$E$275,2,0)</f>
        <v>3296</v>
      </c>
      <c r="J275" s="26">
        <f>VLOOKUP(B275,'[3]현황(23년)'!$C$5:$D$264,2,0)</f>
        <v>2324</v>
      </c>
      <c r="K275" s="26">
        <f>VLOOKUP(B275,'[4]현황(24년)'!$C$5:$D$245,2,0)</f>
        <v>2305</v>
      </c>
      <c r="L275" s="26">
        <f>VLOOKUP(B275,'[5]현황(25년)'!$C$5:$D$233,2,0)</f>
        <v>1493</v>
      </c>
      <c r="M275" s="26">
        <f>VLOOKUP(B275,'[6]현황(26년)'!$C$5:$D$228,2,0)</f>
        <v>116</v>
      </c>
    </row>
    <row r="276" spans="1:13" s="1" customFormat="1">
      <c r="A276" s="27"/>
      <c r="B276" s="11" t="s">
        <v>473</v>
      </c>
      <c r="C276" s="11" t="s">
        <v>474</v>
      </c>
      <c r="D276" s="10" t="s">
        <v>501</v>
      </c>
      <c r="E276" s="10">
        <v>2021</v>
      </c>
      <c r="F276" s="11"/>
      <c r="G276" s="11">
        <v>12</v>
      </c>
      <c r="H276" s="26">
        <f>VLOOKUP(B276,'[1]현황(21년)'!$D$5:$E$275,2,0)</f>
        <v>387</v>
      </c>
      <c r="I276" s="26">
        <f>VLOOKUP(B276,'[2]현황(22년)'!$D$5:$E$275,2,0)</f>
        <v>1142</v>
      </c>
      <c r="J276" s="26">
        <f>VLOOKUP(B276,'[3]현황(23년)'!$C$5:$D$264,2,0)</f>
        <v>1183</v>
      </c>
      <c r="K276" s="26">
        <f>VLOOKUP(B276,'[4]현황(24년)'!$C$5:$D$245,2,0)</f>
        <v>1227</v>
      </c>
      <c r="L276" s="26">
        <f>VLOOKUP(B276,'[5]현황(25년)'!$C$5:$D$233,2,0)</f>
        <v>1385</v>
      </c>
      <c r="M276" s="26">
        <f>VLOOKUP(B276,'[6]현황(26년)'!$C$5:$D$228,2,0)</f>
        <v>793</v>
      </c>
    </row>
    <row r="277" spans="1:13" s="1" customFormat="1">
      <c r="A277" s="27"/>
      <c r="B277" s="11" t="s">
        <v>475</v>
      </c>
      <c r="C277" s="11" t="s">
        <v>476</v>
      </c>
      <c r="D277" s="10" t="s">
        <v>501</v>
      </c>
      <c r="E277" s="10">
        <v>2023</v>
      </c>
      <c r="F277" s="11"/>
      <c r="G277" s="11">
        <v>12</v>
      </c>
      <c r="H277" s="26" t="s">
        <v>585</v>
      </c>
      <c r="I277" s="26" t="s">
        <v>585</v>
      </c>
      <c r="J277" s="26">
        <f>VLOOKUP(B277,'[3]현황(23년)'!$C$5:$D$264,2,0)</f>
        <v>31</v>
      </c>
      <c r="K277" s="26">
        <f>VLOOKUP(B277,'[4]현황(24년)'!$C$5:$D$245,2,0)</f>
        <v>107</v>
      </c>
      <c r="L277" s="26">
        <f>VLOOKUP(B277,'[5]현황(25년)'!$C$5:$D$233,2,0)</f>
        <v>31</v>
      </c>
      <c r="M277" s="26">
        <f>VLOOKUP(B277,'[6]현황(26년)'!$C$5:$D$228,2,0)</f>
        <v>61</v>
      </c>
    </row>
    <row r="278" spans="1:13" s="1" customFormat="1">
      <c r="A278" s="5"/>
      <c r="B278" s="3"/>
      <c r="C278" s="3"/>
      <c r="D278" s="3"/>
      <c r="E278" s="9"/>
      <c r="F278" s="3"/>
      <c r="G278" s="3"/>
      <c r="H278" s="7"/>
      <c r="I278" s="7"/>
      <c r="J278" s="7"/>
      <c r="K278" s="7"/>
      <c r="L278" s="7"/>
      <c r="M278" s="7"/>
    </row>
    <row r="279" spans="1:13">
      <c r="E279" s="4"/>
    </row>
  </sheetData>
  <mergeCells count="25">
    <mergeCell ref="A266:A277"/>
    <mergeCell ref="A195:A206"/>
    <mergeCell ref="A207:A220"/>
    <mergeCell ref="A221:A237"/>
    <mergeCell ref="A238:A245"/>
    <mergeCell ref="A246:A254"/>
    <mergeCell ref="A255:A265"/>
    <mergeCell ref="A185:A194"/>
    <mergeCell ref="A62:A67"/>
    <mergeCell ref="A68:A77"/>
    <mergeCell ref="A78:A86"/>
    <mergeCell ref="A87:A97"/>
    <mergeCell ref="A98:A106"/>
    <mergeCell ref="A107:A118"/>
    <mergeCell ref="A119:A131"/>
    <mergeCell ref="A132:A146"/>
    <mergeCell ref="A147:A158"/>
    <mergeCell ref="A159:A172"/>
    <mergeCell ref="A173:A184"/>
    <mergeCell ref="A50:A61"/>
    <mergeCell ref="A2:A6"/>
    <mergeCell ref="A7:A15"/>
    <mergeCell ref="A16:A24"/>
    <mergeCell ref="A25:A34"/>
    <mergeCell ref="A35:A49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구별 연간 점유율</vt:lpstr>
      <vt:lpstr>개소별 이용건수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3</cp:revision>
  <dcterms:created xsi:type="dcterms:W3CDTF">2024-07-30T04:40:18Z</dcterms:created>
  <dcterms:modified xsi:type="dcterms:W3CDTF">2026-07-23T07:30:08Z</dcterms:modified>
  <cp:version>10.105.234.53029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eyJub2RlMSI6eyJkc2QiOiIwMTAwMDAwMDAwMDAyMTIyIiwibG9nVGltZSI6IjIwMjQtMDgtMjNUMDY6MzY6MjNaIiwicElEIjoiMiIsInRyYWNlSWQiOiIyNjJDQTI0NTg3QkYxMDlBRTNFM0NFMERENjMxOUFENyIsInVzZXJDb2RlIjoibHN3ODMwOSJ9LCJub2RlMiI6eyJkc2QiOiIwMTAwMDAwMDAwMDAyMTIyIiwibG9nVGltZSI6IjI</vt:lpwstr>
  </property>
  <property fmtid="{D5CDD505-2E9C-101B-9397-08002B2CF9AE}" pid="3" name="OpenDocument">
    <vt:lpwstr>False</vt:lpwstr>
  </property>
</Properties>
</file>